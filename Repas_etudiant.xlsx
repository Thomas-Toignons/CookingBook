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ocuments\"/>
    </mc:Choice>
  </mc:AlternateContent>
  <xr:revisionPtr revIDLastSave="0" documentId="13_ncr:1_{FA301D4A-221C-45EC-8EFA-DDF935F5D210}" xr6:coauthVersionLast="47" xr6:coauthVersionMax="47" xr10:uidLastSave="{00000000-0000-0000-0000-000000000000}"/>
  <bookViews>
    <workbookView xWindow="-108" yWindow="-108" windowWidth="23256" windowHeight="12456" activeTab="2" xr2:uid="{99339C86-F63C-450B-8127-11E58830F96A}"/>
  </bookViews>
  <sheets>
    <sheet name="Menu" sheetId="1" r:id="rId1"/>
    <sheet name="Repas prévus" sheetId="5" r:id="rId2"/>
    <sheet name="Ingrédients" sheetId="6" r:id="rId3"/>
    <sheet name="Courses" sheetId="7" r:id="rId4"/>
    <sheet name="Banque_recettes" sheetId="2" r:id="rId5"/>
    <sheet name="Detail_recettes" sheetId="3" r:id="rId6"/>
    <sheet name="Avis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2" i="7" l="1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D7" i="6"/>
  <c r="B32" i="7" a="1"/>
  <c r="D32" i="7" s="1"/>
  <c r="F32" i="7" s="1"/>
  <c r="H32" i="7" s="1"/>
  <c r="B33" i="7" a="1"/>
  <c r="D33" i="7" s="1"/>
  <c r="F33" i="7" s="1"/>
  <c r="H33" i="7" s="1"/>
  <c r="B34" i="7" a="1"/>
  <c r="D34" i="7" s="1"/>
  <c r="F34" i="7" s="1"/>
  <c r="H34" i="7" s="1"/>
  <c r="B35" i="7" a="1"/>
  <c r="D35" i="7" s="1"/>
  <c r="B36" i="7" a="1"/>
  <c r="D36" i="7" s="1"/>
  <c r="B37" i="7" a="1"/>
  <c r="D37" i="7" s="1"/>
  <c r="F37" i="7" s="1"/>
  <c r="H37" i="7" s="1"/>
  <c r="B38" i="7" a="1"/>
  <c r="D38" i="7" s="1"/>
  <c r="F38" i="7" s="1"/>
  <c r="H38" i="7" s="1"/>
  <c r="B39" i="7" a="1"/>
  <c r="D39" i="7" s="1"/>
  <c r="F39" i="7" s="1"/>
  <c r="H39" i="7" s="1"/>
  <c r="B40" i="7" a="1"/>
  <c r="D40" i="7" s="1"/>
  <c r="F40" i="7" s="1"/>
  <c r="H40" i="7" s="1"/>
  <c r="B41" i="7" a="1"/>
  <c r="D41" i="7" s="1"/>
  <c r="F41" i="7" s="1"/>
  <c r="H41" i="7" s="1"/>
  <c r="B42" i="7" a="1"/>
  <c r="D42" i="7" s="1"/>
  <c r="F42" i="7" s="1"/>
  <c r="H42" i="7" s="1"/>
  <c r="B43" i="7" a="1"/>
  <c r="D43" i="7" s="1"/>
  <c r="F43" i="7" s="1"/>
  <c r="H43" i="7" s="1"/>
  <c r="B44" i="7" a="1"/>
  <c r="D44" i="7" s="1"/>
  <c r="F44" i="7" s="1"/>
  <c r="H44" i="7" s="1"/>
  <c r="B45" i="7" a="1"/>
  <c r="D45" i="7" s="1"/>
  <c r="F45" i="7" s="1"/>
  <c r="H45" i="7" s="1"/>
  <c r="B46" i="7" a="1"/>
  <c r="D46" i="7" s="1"/>
  <c r="F46" i="7" s="1"/>
  <c r="H46" i="7" s="1"/>
  <c r="B47" i="7" a="1"/>
  <c r="D47" i="7" s="1"/>
  <c r="F47" i="7" s="1"/>
  <c r="H47" i="7" s="1"/>
  <c r="B48" i="7" a="1"/>
  <c r="D48" i="7" s="1"/>
  <c r="F48" i="7" s="1"/>
  <c r="H48" i="7" s="1"/>
  <c r="B49" i="7" a="1"/>
  <c r="D49" i="7" s="1"/>
  <c r="F49" i="7" s="1"/>
  <c r="H49" i="7" s="1"/>
  <c r="B50" i="7" a="1"/>
  <c r="D50" i="7" s="1"/>
  <c r="F50" i="7" s="1"/>
  <c r="H50" i="7" s="1"/>
  <c r="B51" i="7" a="1"/>
  <c r="D51" i="7" s="1"/>
  <c r="F51" i="7" s="1"/>
  <c r="H51" i="7" s="1"/>
  <c r="B52" i="7" a="1"/>
  <c r="D52" i="7" s="1"/>
  <c r="F52" i="7" s="1"/>
  <c r="H52" i="7" s="1"/>
  <c r="B53" i="7" a="1"/>
  <c r="D53" i="7" s="1"/>
  <c r="F53" i="7" s="1"/>
  <c r="H53" i="7" s="1"/>
  <c r="B54" i="7" a="1"/>
  <c r="D54" i="7" s="1"/>
  <c r="F54" i="7" s="1"/>
  <c r="H54" i="7" s="1"/>
  <c r="B55" i="7" a="1"/>
  <c r="D55" i="7" s="1"/>
  <c r="F55" i="7" s="1"/>
  <c r="H55" i="7" s="1"/>
  <c r="B56" i="7" a="1"/>
  <c r="D56" i="7" s="1"/>
  <c r="F56" i="7" s="1"/>
  <c r="H56" i="7" s="1"/>
  <c r="B57" i="7" a="1"/>
  <c r="D57" i="7" s="1"/>
  <c r="F57" i="7" s="1"/>
  <c r="H57" i="7" s="1"/>
  <c r="B58" i="7" a="1"/>
  <c r="D58" i="7" s="1"/>
  <c r="F58" i="7" s="1"/>
  <c r="H58" i="7" s="1"/>
  <c r="B59" i="7" a="1"/>
  <c r="D59" i="7" s="1"/>
  <c r="F59" i="7" s="1"/>
  <c r="H59" i="7" s="1"/>
  <c r="B60" i="7" a="1"/>
  <c r="D60" i="7" s="1"/>
  <c r="F60" i="7" s="1"/>
  <c r="H60" i="7" s="1"/>
  <c r="B61" i="7" a="1"/>
  <c r="D61" i="7" s="1"/>
  <c r="F61" i="7" s="1"/>
  <c r="H61" i="7" s="1"/>
  <c r="B62" i="7" a="1"/>
  <c r="D62" i="7" s="1"/>
  <c r="F62" i="7" s="1"/>
  <c r="H62" i="7" s="1"/>
  <c r="B63" i="7" a="1"/>
  <c r="D63" i="7" s="1"/>
  <c r="F63" i="7" s="1"/>
  <c r="H63" i="7" s="1"/>
  <c r="B64" i="7" a="1"/>
  <c r="D64" i="7" s="1"/>
  <c r="F64" i="7" s="1"/>
  <c r="H64" i="7" s="1"/>
  <c r="B65" i="7" a="1"/>
  <c r="D65" i="7" s="1"/>
  <c r="B66" i="7" a="1"/>
  <c r="D66" i="7" s="1"/>
  <c r="B67" i="7" a="1"/>
  <c r="D67" i="7" s="1"/>
  <c r="B68" i="7" a="1"/>
  <c r="D68" i="7" s="1"/>
  <c r="B69" i="7" a="1"/>
  <c r="D69" i="7" s="1"/>
  <c r="B70" i="7" a="1"/>
  <c r="D70" i="7" s="1"/>
  <c r="F70" i="7" s="1"/>
  <c r="H70" i="7" s="1"/>
  <c r="B71" i="7" a="1"/>
  <c r="D71" i="7" s="1"/>
  <c r="F71" i="7" s="1"/>
  <c r="H71" i="7" s="1"/>
  <c r="B72" i="7" a="1"/>
  <c r="D72" i="7" s="1"/>
  <c r="F72" i="7" s="1"/>
  <c r="H72" i="7" s="1"/>
  <c r="B73" i="7" a="1"/>
  <c r="D73" i="7" s="1"/>
  <c r="F73" i="7" s="1"/>
  <c r="H73" i="7" s="1"/>
  <c r="B74" i="7" a="1"/>
  <c r="D74" i="7" s="1"/>
  <c r="F74" i="7" s="1"/>
  <c r="H74" i="7" s="1"/>
  <c r="B75" i="7" a="1"/>
  <c r="D75" i="7" s="1"/>
  <c r="F75" i="7" s="1"/>
  <c r="H75" i="7" s="1"/>
  <c r="B76" i="7" a="1"/>
  <c r="D76" i="7" s="1"/>
  <c r="F76" i="7" s="1"/>
  <c r="H76" i="7" s="1"/>
  <c r="B77" i="7" a="1"/>
  <c r="D77" i="7" s="1"/>
  <c r="F77" i="7" s="1"/>
  <c r="H77" i="7" s="1"/>
  <c r="B78" i="7" a="1"/>
  <c r="D78" i="7" s="1"/>
  <c r="F78" i="7" s="1"/>
  <c r="H78" i="7" s="1"/>
  <c r="B79" i="7" a="1"/>
  <c r="D79" i="7" s="1"/>
  <c r="F79" i="7" s="1"/>
  <c r="H79" i="7" s="1"/>
  <c r="B80" i="7" a="1"/>
  <c r="D80" i="7" s="1"/>
  <c r="F80" i="7" s="1"/>
  <c r="H80" i="7" s="1"/>
  <c r="B81" i="7" a="1"/>
  <c r="D81" i="7" s="1"/>
  <c r="F81" i="7" s="1"/>
  <c r="H81" i="7" s="1"/>
  <c r="B82" i="7" a="1"/>
  <c r="D82" i="7" s="1"/>
  <c r="F82" i="7" s="1"/>
  <c r="H82" i="7" s="1"/>
  <c r="B83" i="7" a="1"/>
  <c r="D83" i="7" s="1"/>
  <c r="F83" i="7" s="1"/>
  <c r="H83" i="7" s="1"/>
  <c r="B84" i="7" a="1"/>
  <c r="D84" i="7" s="1"/>
  <c r="F84" i="7" s="1"/>
  <c r="H84" i="7" s="1"/>
  <c r="B85" i="7" a="1"/>
  <c r="D85" i="7" s="1"/>
  <c r="B86" i="7" a="1"/>
  <c r="D86" i="7" s="1"/>
  <c r="B87" i="7" a="1"/>
  <c r="D87" i="7" s="1"/>
  <c r="B88" i="7" a="1"/>
  <c r="D88" i="7" s="1"/>
  <c r="B89" i="7" a="1"/>
  <c r="D89" i="7" s="1"/>
  <c r="B90" i="7" a="1"/>
  <c r="D90" i="7" s="1"/>
  <c r="B91" i="7" a="1"/>
  <c r="D91" i="7" s="1"/>
  <c r="B92" i="7" a="1"/>
  <c r="D92" i="7" s="1"/>
  <c r="B93" i="7" a="1"/>
  <c r="D93" i="7" s="1"/>
  <c r="B94" i="7" a="1"/>
  <c r="D94" i="7" s="1"/>
  <c r="B95" i="7" a="1"/>
  <c r="D95" i="7" s="1"/>
  <c r="B96" i="7" a="1"/>
  <c r="D96" i="7" s="1"/>
  <c r="B97" i="7" a="1"/>
  <c r="D97" i="7" s="1"/>
  <c r="B98" i="7" a="1"/>
  <c r="D98" i="7" s="1"/>
  <c r="B99" i="7" a="1"/>
  <c r="D99" i="7" s="1"/>
  <c r="B100" i="7" a="1"/>
  <c r="D100" i="7" s="1"/>
  <c r="B101" i="7" a="1"/>
  <c r="D101" i="7" s="1"/>
  <c r="M5" i="5" a="1"/>
  <c r="M12" i="5" a="1"/>
  <c r="C14" i="1"/>
  <c r="I18" i="5"/>
  <c r="H18" i="5"/>
  <c r="G18" i="5"/>
  <c r="I17" i="5"/>
  <c r="H17" i="5"/>
  <c r="G17" i="5"/>
  <c r="I16" i="5"/>
  <c r="H16" i="5"/>
  <c r="G16" i="5"/>
  <c r="I15" i="5"/>
  <c r="H15" i="5"/>
  <c r="G15" i="5"/>
  <c r="I14" i="5"/>
  <c r="H14" i="5"/>
  <c r="G14" i="5"/>
  <c r="I13" i="5"/>
  <c r="H13" i="5"/>
  <c r="G13" i="5"/>
  <c r="I12" i="5"/>
  <c r="H12" i="5"/>
  <c r="G12" i="5"/>
  <c r="I11" i="5"/>
  <c r="H11" i="5"/>
  <c r="G11" i="5"/>
  <c r="I10" i="5"/>
  <c r="H10" i="5"/>
  <c r="G10" i="5"/>
  <c r="I9" i="5"/>
  <c r="H9" i="5"/>
  <c r="G9" i="5"/>
  <c r="I8" i="5"/>
  <c r="H8" i="5"/>
  <c r="G8" i="5"/>
  <c r="I7" i="5"/>
  <c r="H7" i="5"/>
  <c r="G7" i="5"/>
  <c r="I6" i="5"/>
  <c r="H6" i="5"/>
  <c r="G6" i="5"/>
  <c r="I5" i="5"/>
  <c r="H5" i="5"/>
  <c r="G5" i="5"/>
  <c r="A5" i="4" a="1"/>
  <c r="C8" i="1"/>
  <c r="C9" i="1"/>
  <c r="C10" i="1"/>
  <c r="C11" i="1"/>
  <c r="C12" i="1"/>
  <c r="C15" i="1"/>
  <c r="C16" i="1"/>
  <c r="C17" i="1"/>
  <c r="C18" i="1"/>
  <c r="C19" i="1"/>
  <c r="C20" i="1"/>
  <c r="C7" i="1"/>
  <c r="C6" i="1"/>
  <c r="U5" i="5" l="1" a="1"/>
  <c r="L6" i="7" s="1" a="1"/>
  <c r="F35" i="7"/>
  <c r="H35" i="7" s="1"/>
  <c r="F36" i="7"/>
  <c r="H36" i="7" s="1"/>
  <c r="F85" i="7"/>
  <c r="H85" i="7" s="1"/>
  <c r="F86" i="7"/>
  <c r="H86" i="7" s="1"/>
  <c r="F87" i="7"/>
  <c r="H87" i="7" s="1"/>
  <c r="F88" i="7"/>
  <c r="H88" i="7" s="1"/>
  <c r="F89" i="7"/>
  <c r="H89" i="7" s="1"/>
  <c r="F90" i="7"/>
  <c r="H90" i="7" s="1"/>
  <c r="F91" i="7"/>
  <c r="H91" i="7" s="1"/>
  <c r="F92" i="7"/>
  <c r="H92" i="7" s="1"/>
  <c r="F93" i="7"/>
  <c r="H93" i="7" s="1"/>
  <c r="F94" i="7"/>
  <c r="H94" i="7" s="1"/>
  <c r="F95" i="7"/>
  <c r="H95" i="7" s="1"/>
  <c r="F96" i="7"/>
  <c r="H96" i="7" s="1"/>
  <c r="F97" i="7"/>
  <c r="H97" i="7" s="1"/>
  <c r="F98" i="7"/>
  <c r="H98" i="7" s="1"/>
  <c r="F99" i="7"/>
  <c r="H99" i="7" s="1"/>
  <c r="F100" i="7"/>
  <c r="H100" i="7" s="1"/>
  <c r="F101" i="7"/>
  <c r="H101" i="7" s="1"/>
  <c r="F65" i="7"/>
  <c r="H65" i="7" s="1"/>
  <c r="F66" i="7"/>
  <c r="H66" i="7" s="1"/>
  <c r="F67" i="7"/>
  <c r="H67" i="7" s="1"/>
  <c r="F68" i="7"/>
  <c r="H68" i="7" s="1"/>
  <c r="F69" i="7"/>
  <c r="H69" i="7" s="1"/>
  <c r="A6" i="7" l="1" a="1"/>
  <c r="B24" i="7" l="1" a="1"/>
  <c r="D24" i="7" s="1"/>
  <c r="B22" i="7" a="1"/>
  <c r="D22" i="7" s="1"/>
  <c r="B20" i="7" a="1"/>
  <c r="D20" i="7" s="1"/>
  <c r="B18" i="7" a="1"/>
  <c r="D18" i="7" s="1"/>
  <c r="G18" i="7" s="1"/>
  <c r="B16" i="7" a="1"/>
  <c r="D16" i="7" s="1"/>
  <c r="B27" i="7" a="1"/>
  <c r="D27" i="7" s="1"/>
  <c r="B13" i="7" a="1"/>
  <c r="D13" i="7" s="1"/>
  <c r="B12" i="7" a="1"/>
  <c r="D12" i="7" s="1"/>
  <c r="B11" i="7" a="1"/>
  <c r="D11" i="7" s="1"/>
  <c r="B10" i="7" a="1"/>
  <c r="D10" i="7" s="1"/>
  <c r="B17" i="7" a="1"/>
  <c r="D17" i="7" s="1"/>
  <c r="B15" i="7" a="1"/>
  <c r="D15" i="7" s="1"/>
  <c r="B14" i="7" a="1"/>
  <c r="D14" i="7" s="1"/>
  <c r="B9" i="7" a="1"/>
  <c r="D9" i="7" s="1"/>
  <c r="B8" i="7" a="1"/>
  <c r="D8" i="7" s="1"/>
  <c r="B7" i="7" a="1"/>
  <c r="D7" i="7" s="1"/>
  <c r="B6" i="7" a="1"/>
  <c r="D6" i="7" s="1"/>
  <c r="B31" i="7" a="1"/>
  <c r="D31" i="7" s="1"/>
  <c r="B30" i="7" a="1"/>
  <c r="D30" i="7" s="1"/>
  <c r="B29" i="7" a="1"/>
  <c r="D29" i="7" s="1"/>
  <c r="B28" i="7" a="1"/>
  <c r="D28" i="7" s="1"/>
  <c r="B26" i="7" a="1"/>
  <c r="D26" i="7" s="1"/>
  <c r="B25" i="7" a="1"/>
  <c r="D25" i="7" s="1"/>
  <c r="B23" i="7" a="1"/>
  <c r="D23" i="7" s="1"/>
  <c r="B21" i="7" a="1"/>
  <c r="D21" i="7" s="1"/>
  <c r="B19" i="7" a="1"/>
  <c r="D19" i="7" s="1"/>
  <c r="E6" i="7" a="1"/>
  <c r="F18" i="7" l="1"/>
  <c r="H18" i="7" s="1"/>
  <c r="G24" i="7"/>
  <c r="F24" i="7"/>
  <c r="F22" i="7"/>
  <c r="G22" i="7"/>
  <c r="G20" i="7"/>
  <c r="F20" i="7"/>
  <c r="G16" i="7"/>
  <c r="F16" i="7"/>
  <c r="F27" i="7"/>
  <c r="G27" i="7"/>
  <c r="F13" i="7"/>
  <c r="G13" i="7"/>
  <c r="G12" i="7"/>
  <c r="F12" i="7"/>
  <c r="F11" i="7"/>
  <c r="G11" i="7"/>
  <c r="G10" i="7"/>
  <c r="F10" i="7"/>
  <c r="G17" i="7"/>
  <c r="F17" i="7"/>
  <c r="G15" i="7"/>
  <c r="F15" i="7"/>
  <c r="G14" i="7"/>
  <c r="F14" i="7"/>
  <c r="G9" i="7"/>
  <c r="F9" i="7"/>
  <c r="G8" i="7"/>
  <c r="F8" i="7"/>
  <c r="G7" i="7"/>
  <c r="F7" i="7"/>
  <c r="G6" i="7"/>
  <c r="F6" i="7"/>
  <c r="F31" i="7"/>
  <c r="G31" i="7"/>
  <c r="F30" i="7"/>
  <c r="G30" i="7"/>
  <c r="H30" i="7" s="1"/>
  <c r="G29" i="7"/>
  <c r="F29" i="7"/>
  <c r="G28" i="7"/>
  <c r="F28" i="7"/>
  <c r="G26" i="7"/>
  <c r="F26" i="7"/>
  <c r="G25" i="7"/>
  <c r="F25" i="7"/>
  <c r="F23" i="7"/>
  <c r="G23" i="7"/>
  <c r="F21" i="7"/>
  <c r="G21" i="7"/>
  <c r="G19" i="7"/>
  <c r="F19" i="7"/>
  <c r="H8" i="7" l="1"/>
  <c r="H14" i="7"/>
  <c r="H25" i="7"/>
  <c r="H19" i="7"/>
  <c r="H12" i="7"/>
  <c r="H26" i="7"/>
  <c r="H31" i="7"/>
  <c r="H28" i="7"/>
  <c r="H9" i="7"/>
  <c r="H22" i="7"/>
  <c r="H17" i="7"/>
  <c r="H24" i="7"/>
  <c r="H27" i="7"/>
  <c r="H13" i="7"/>
  <c r="H10" i="7"/>
  <c r="A3" i="7" s="1"/>
  <c r="H15" i="7"/>
  <c r="H29" i="7"/>
  <c r="H23" i="7"/>
  <c r="H21" i="7"/>
  <c r="H20" i="7"/>
  <c r="H16" i="7"/>
  <c r="H11" i="7"/>
  <c r="H7" i="7"/>
  <c r="H6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<sst xmlns="http://schemas.openxmlformats.org/spreadsheetml/2006/main" count="644" uniqueCount="217">
  <si>
    <t>Semaine 1</t>
  </si>
  <si>
    <t>Lundi</t>
  </si>
  <si>
    <t>Mardi</t>
  </si>
  <si>
    <t>Mercredi</t>
  </si>
  <si>
    <t>Jeudi</t>
  </si>
  <si>
    <t>Vendredi</t>
  </si>
  <si>
    <t>Samedi</t>
  </si>
  <si>
    <t>Dimanche</t>
  </si>
  <si>
    <t>Semaine 2</t>
  </si>
  <si>
    <t>Matin</t>
  </si>
  <si>
    <t>Midi</t>
  </si>
  <si>
    <t>Soir</t>
  </si>
  <si>
    <t>ID</t>
  </si>
  <si>
    <t>Nom de la recette</t>
  </si>
  <si>
    <t>Type</t>
  </si>
  <si>
    <t>Temps</t>
  </si>
  <si>
    <t>Tout-en-un ?</t>
  </si>
  <si>
    <t>Recette</t>
  </si>
  <si>
    <t>PDJ1</t>
  </si>
  <si>
    <t>PDJ2</t>
  </si>
  <si>
    <t>R1</t>
  </si>
  <si>
    <t>Chili haricots rouges &amp; riz</t>
  </si>
  <si>
    <t>Végétarien</t>
  </si>
  <si>
    <t>25 min</t>
  </si>
  <si>
    <t>Oui</t>
  </si>
  <si>
    <t>R2</t>
  </si>
  <si>
    <t>Poulet curry, carottes &amp; riz</t>
  </si>
  <si>
    <t>Non végétarien</t>
  </si>
  <si>
    <t>R3</t>
  </si>
  <si>
    <t>Pâtes au thon, tomate &amp; épinards</t>
  </si>
  <si>
    <t>20 min</t>
  </si>
  <si>
    <t>R4</t>
  </si>
  <si>
    <t>Dhal lentilles corail, carottes &amp; riz</t>
  </si>
  <si>
    <t>R5</t>
  </si>
  <si>
    <t>Semoule, pois chiches &amp; légumes</t>
  </si>
  <si>
    <t>15 min</t>
  </si>
  <si>
    <t>R6</t>
  </si>
  <si>
    <t>Poulet, pommes de terre &amp; haricots verts</t>
  </si>
  <si>
    <t>30 min</t>
  </si>
  <si>
    <t>R7</t>
  </si>
  <si>
    <t>Bolognaise de lentilles &amp; pâtes</t>
  </si>
  <si>
    <t>R8</t>
  </si>
  <si>
    <t>Riz au poulet, tomate &amp; petits pois</t>
  </si>
  <si>
    <t>R9</t>
  </si>
  <si>
    <t>Poulet moutarde, pommes de terre &amp; carottes</t>
  </si>
  <si>
    <t>R10</t>
  </si>
  <si>
    <t>Pâtes pois chiches, tomate &amp; épinards</t>
  </si>
  <si>
    <t>R11</t>
  </si>
  <si>
    <t>Riz lentilles corail, petits pois &amp; carottes</t>
  </si>
  <si>
    <t>R12</t>
  </si>
  <si>
    <t>Lentilles vertes, tomate &amp; pommes de terre</t>
  </si>
  <si>
    <t>R13</t>
  </si>
  <si>
    <t>Poulet paprika, semoule &amp; légumes</t>
  </si>
  <si>
    <t>R14</t>
  </si>
  <si>
    <t>Filet de poisson blanc, pommes de terre &amp; haricots verts</t>
  </si>
  <si>
    <t>Émincer oignon et carottes. Faire revenir 3 min avec un peu d’huile. Ajouter tomates, haricots rincés, épices et 250 ml d’eau. Ajouter le riz, couvrir et cuire 15–18 min.</t>
  </si>
  <si>
    <t>1 portion le soir, 1 au frais pour le lendemain midi.</t>
  </si>
  <si>
    <t>Faire dorer poulet et oignon 5 min. Ajouter carottes, curry, riz, lentilles corail et environ 430 ml d’eau. Couvrir 15–18 min. Hors du feu, incorporer le fromage blanc.</t>
  </si>
  <si>
    <t>Refroidir rapidement la portion du midi puis réfrigérer.</t>
  </si>
  <si>
    <t>Mettre tomate, oignon, épinards et 300 ml d’eau dans la casserole. Porter à ébullition, ajouter les pâtes. Ajouter le thon égoutté 2 min avant la fin.</t>
  </si>
  <si>
    <t>Se réchauffe bien le lendemain.</t>
  </si>
  <si>
    <t>Rincer lentilles et riz. Mettre tous les ingrédients avec environ 700 ml d’eau et le curry. Cuire 18–22 min à feu doux en remuant régulièrement.</t>
  </si>
  <si>
    <t>Ajouter un peu d’eau au réchauffage.</t>
  </si>
  <si>
    <t>Chauffer tomates, légumes, pois chiches et épices 8–10 min. Ajouter 220 ml d’eau. À ébullition couper le feu, verser la semoule, couvrir 5 min puis égrainer.</t>
  </si>
  <si>
    <t>Bon chaud ou tiède le lendemain.</t>
  </si>
  <si>
    <t>Faire dorer poulet et oignon 5 min. Ajouter pommes de terre, lentilles vertes, paprika et environ 500 ml d’eau. Couvrir 20 min. Ajouter les haricots verts 8–10 min.</t>
  </si>
  <si>
    <t>Réchauffer à cœur le lendemain.</t>
  </si>
  <si>
    <t>Cuire les lentilles 15 min puis égoutter. Remettre avec tomate, carotte râpée, oignon et 350 ml d’eau. Ajouter les pâtes et cuire jusqu’à tendreté.</t>
  </si>
  <si>
    <t>Ajouter un trait d’eau au réchauffage.</t>
  </si>
  <si>
    <t>Faire revenir poulet et oignon 4–5 min. Ajouter riz, tomate, petits pois, paprika et 300 ml d’eau. Couvrir et cuire 15–18 min.</t>
  </si>
  <si>
    <t>Refroidir rapidement la portion du lendemain.</t>
  </si>
  <si>
    <t>Faire dorer poulet et oignon. Ajouter pommes de terre, carottes, lentilles vertes et environ 500 ml d’eau. Couvrir 22–25 min. Mélanger la moutarde en fin de cuisson.</t>
  </si>
  <si>
    <t>Se conserve 24–48 h au réfrigérateur.</t>
  </si>
  <si>
    <t>Mettre pois chiches, tomate, épinards, oignon et 300 ml d’eau. Porter à ébullition. Ajouter les pâtes et cuire en remuant.</t>
  </si>
  <si>
    <t>Très pratique en lunchbox.</t>
  </si>
  <si>
    <t>Rincer riz et lentilles. Mettre tous les ingrédients avec environ 650 ml d’eau et le curry. Cuire 18–22 min à feu doux en remuant régulièrement.</t>
  </si>
  <si>
    <t>Ajouter un trait d’eau au réchauffage si nécessaire.</t>
  </si>
  <si>
    <t>Rincer les lentilles. Mettre lentilles, pommes de terre, carottes, tomate, oignon, paprika et environ 650 ml d’eau. Cuire 25–30 min à feu doux.</t>
  </si>
  <si>
    <t>Plat très rassasiant.</t>
  </si>
  <si>
    <t>Cuire poulet et oignon 5 min. Ajouter lentilles corail, légumes, tomate et paprika, cuire 10–12 min. Ajouter 200 ml d’eau. Verser la semoule et couvrir 5 min.</t>
  </si>
  <si>
    <t>Se réchauffe facilement.</t>
  </si>
  <si>
    <t>Cuire les pommes de terre en cubes 10 min. Ajouter les haricots verts puis poser les filets de poisson par-dessus. Couvrir 8–10 min. Mélanger fromage blanc et moutarde aux légumes.</t>
  </si>
  <si>
    <t>Réchauffer doucement pour ne pas dessécher le poisson.</t>
  </si>
  <si>
    <t>Œuf, Avoine, Fromage blanc, Pomme</t>
  </si>
  <si>
    <t>10 min</t>
  </si>
  <si>
    <t>Non</t>
  </si>
  <si>
    <t>ID ingrédient</t>
  </si>
  <si>
    <t>Ingrédient</t>
  </si>
  <si>
    <t>Prix estimé €/kg</t>
  </si>
  <si>
    <t>Prix réel €/kg</t>
  </si>
  <si>
    <t>Note</t>
  </si>
  <si>
    <t>I01</t>
  </si>
  <si>
    <t>Flocons d’avoine</t>
  </si>
  <si>
    <t>Estimation paquet économique</t>
  </si>
  <si>
    <t>I02</t>
  </si>
  <si>
    <t>Fromage blanc nature</t>
  </si>
  <si>
    <t>Estimation pot 1 kg</t>
  </si>
  <si>
    <t>I03</t>
  </si>
  <si>
    <t>Œuf</t>
  </si>
  <si>
    <t>≈60 g par œuf, prix ramené au kg</t>
  </si>
  <si>
    <t>I04</t>
  </si>
  <si>
    <t>Pomme</t>
  </si>
  <si>
    <t>Fruit de saison, valeur indicative</t>
  </si>
  <si>
    <t>I05</t>
  </si>
  <si>
    <t>Riz</t>
  </si>
  <si>
    <t>Paquet 1 kg</t>
  </si>
  <si>
    <t>I06</t>
  </si>
  <si>
    <t>Pâtes</t>
  </si>
  <si>
    <t>I07</t>
  </si>
  <si>
    <t>Haricots rouges égouttés</t>
  </si>
  <si>
    <t>Prix ramené au poids égoutté</t>
  </si>
  <si>
    <t>I08</t>
  </si>
  <si>
    <t>Pois chiches égouttés</t>
  </si>
  <si>
    <t>I09</t>
  </si>
  <si>
    <t>Tomates concassées</t>
  </si>
  <si>
    <t>Boîte 400 g</t>
  </si>
  <si>
    <t>I10</t>
  </si>
  <si>
    <t>Oignon</t>
  </si>
  <si>
    <t>I11</t>
  </si>
  <si>
    <t>Carotte</t>
  </si>
  <si>
    <t>I12</t>
  </si>
  <si>
    <t>Poulet</t>
  </si>
  <si>
    <t>Choisir le morceau le moins cher / promo</t>
  </si>
  <si>
    <t>I13</t>
  </si>
  <si>
    <t>Épinards surgelés</t>
  </si>
  <si>
    <t>I14</t>
  </si>
  <si>
    <t>Lentilles corail</t>
  </si>
  <si>
    <t>Paquet 500 g</t>
  </si>
  <si>
    <t>I15</t>
  </si>
  <si>
    <t>Lentilles vertes</t>
  </si>
  <si>
    <t>I16</t>
  </si>
  <si>
    <t>Semoule</t>
  </si>
  <si>
    <t>I17</t>
  </si>
  <si>
    <t>Légumes mélangés surgelés</t>
  </si>
  <si>
    <t>I18</t>
  </si>
  <si>
    <t>Pommes de terre</t>
  </si>
  <si>
    <t>Sac économique</t>
  </si>
  <si>
    <t>I19</t>
  </si>
  <si>
    <t>Haricots verts surgelés</t>
  </si>
  <si>
    <t>I20</t>
  </si>
  <si>
    <t>Thon au naturel égoutté</t>
  </si>
  <si>
    <t>I21</t>
  </si>
  <si>
    <t>Petits pois surgelés</t>
  </si>
  <si>
    <t>I22</t>
  </si>
  <si>
    <t>Filet de poisson blanc</t>
  </si>
  <si>
    <t>Cabillaud, colin, lieu ou équivalent</t>
  </si>
  <si>
    <t>I23</t>
  </si>
  <si>
    <t>Curry</t>
  </si>
  <si>
    <t>Petit pot</t>
  </si>
  <si>
    <t>I24</t>
  </si>
  <si>
    <t>Paprika</t>
  </si>
  <si>
    <t>I25</t>
  </si>
  <si>
    <t>Cumin</t>
  </si>
  <si>
    <t>I26</t>
  </si>
  <si>
    <t>Moutarde</t>
  </si>
  <si>
    <t>Pot ~350 g</t>
  </si>
  <si>
    <t>I27</t>
  </si>
  <si>
    <t>Herbes séchées</t>
  </si>
  <si>
    <t>I28</t>
  </si>
  <si>
    <t>Huile</t>
  </si>
  <si>
    <t>Estimation ramenée au kg</t>
  </si>
  <si>
    <t>Recettes — base de données</t>
  </si>
  <si>
    <t>Une ligne = une recette. Les lignes 5 à 104 sont réservées à la base : ajoutez vos futures recettes sous les recettes existantes.</t>
  </si>
  <si>
    <t>Préparation</t>
  </si>
  <si>
    <t>Conservation / notes</t>
  </si>
  <si>
    <t>Avis — une ligne par recette</t>
  </si>
  <si>
    <t>Testée ?</t>
  </si>
  <si>
    <t>Note /5</t>
  </si>
  <si>
    <t>Satiété</t>
  </si>
  <si>
    <t>Portion prochaine fois</t>
  </si>
  <si>
    <t>Facilité</t>
  </si>
  <si>
    <t>À refaire ?</t>
  </si>
  <si>
    <t>Commentaire / modifications</t>
  </si>
  <si>
    <t>Ingrédients — Prix</t>
  </si>
  <si>
    <t>ID recette</t>
  </si>
  <si>
    <t>Qté recette (2 portions, g)</t>
  </si>
  <si>
    <t>Composition technique des recettes</t>
  </si>
  <si>
    <t>Ccomposition technique</t>
  </si>
  <si>
    <t>Qté / portion (g)</t>
  </si>
  <si>
    <t>Courses — repas prévus et liste calculée</t>
  </si>
  <si>
    <t>Les colonnes « prévu ? » sont de vrais booléens TRUE/FALSE. Le prix réel €/kg est saisi uniquement dans Ingrédients et repris automatiquement ici.</t>
  </si>
  <si>
    <t>Semaine</t>
  </si>
  <si>
    <t>Date</t>
  </si>
  <si>
    <t>Petit-déjeuner</t>
  </si>
  <si>
    <t>Déjeuner (auto)</t>
  </si>
  <si>
    <t>Dîner</t>
  </si>
  <si>
    <t>B</t>
  </si>
  <si>
    <t>L</t>
  </si>
  <si>
    <t>D</t>
  </si>
  <si>
    <t>Besoin calculé (kg)</t>
  </si>
  <si>
    <t>Qté à acheter (kg)</t>
  </si>
  <si>
    <t>Coût estimé</t>
  </si>
  <si>
    <t>Coût réel</t>
  </si>
  <si>
    <t>Écart</t>
  </si>
  <si>
    <t>Qté en stock (unité ou kg)</t>
  </si>
  <si>
    <t xml:space="preserve">Saisissez vos prix réels au kg en colonne D. </t>
  </si>
  <si>
    <t>Les colonnes ID et Recette se remplissent automatiquement</t>
  </si>
  <si>
    <t>Menu de la semaine</t>
  </si>
  <si>
    <t>Menu réel après planification</t>
  </si>
  <si>
    <t>Repas</t>
  </si>
  <si>
    <t>Portions</t>
  </si>
  <si>
    <t>Très rassasiant</t>
  </si>
  <si>
    <t>Garder</t>
  </si>
  <si>
    <t>Pénible</t>
  </si>
  <si>
    <t>Un peu long de couper le tout mais c'est vraiment bon</t>
  </si>
  <si>
    <t>Très facile</t>
  </si>
  <si>
    <t>Sec et pas agréable à manger mais fait le taffe</t>
  </si>
  <si>
    <t>R15</t>
  </si>
  <si>
    <t>Poulet, curry, riz, lait de coco, légumes</t>
  </si>
  <si>
    <r>
      <t xml:space="preserve">Coupe et fais revenir le poulet 5 min dans la casserole avec un peu d'huile. Ajoute curry, riz rincé, pois chiches égouttés, légumes, lait de coco et </t>
    </r>
    <r>
      <rPr>
        <b/>
        <sz val="11"/>
        <color theme="1"/>
        <rFont val="Aptos Narrow"/>
        <family val="2"/>
        <scheme val="minor"/>
      </rPr>
      <t>250 ml d'eau</t>
    </r>
    <r>
      <rPr>
        <sz val="11"/>
        <color theme="1"/>
        <rFont val="Aptos Narrow"/>
        <family val="2"/>
        <scheme val="minor"/>
      </rPr>
      <t xml:space="preserve">. Sale. Couvre et cuis à feu doux </t>
    </r>
    <r>
      <rPr>
        <b/>
        <sz val="11"/>
        <color theme="1"/>
        <rFont val="Aptos Narrow"/>
        <family val="2"/>
        <scheme val="minor"/>
      </rPr>
      <t>15–18 min</t>
    </r>
    <r>
      <rPr>
        <sz val="11"/>
        <color theme="1"/>
        <rFont val="Aptos Narrow"/>
        <family val="2"/>
        <scheme val="minor"/>
      </rPr>
      <t>, en mélangeant 2–3 fois. Ajoute un peu d'eau si le riz absorbe tout trop vite.</t>
    </r>
  </si>
  <si>
    <t>Lait de coco</t>
  </si>
  <si>
    <t>Le gout du thon réchauffé ou même l'odeur après dans tout l'appart c'est non</t>
  </si>
  <si>
    <t>Moyen</t>
  </si>
  <si>
    <t>Facile</t>
  </si>
  <si>
    <t>Bien</t>
  </si>
  <si>
    <t>I29</t>
  </si>
  <si>
    <t>Pas kg mais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</si>
</sst>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€&quot;;[Red]\-#,##0.00\ &quot;€&quot;"/>
    <numFmt numFmtId="164" formatCode="0.00\ &quot;€/kg&quot;"/>
    <numFmt numFmtId="165" formatCode="0.0\ &quot;g&quot;"/>
    <numFmt numFmtId="166" formatCode="0.000\ &quot;kg&quot;"/>
    <numFmt numFmtId="167" formatCode="0.00\ &quot;€&quot;"/>
  </numFmts>
  <fonts count="6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FFFF"/>
      <name val="Carlito"/>
    </font>
    <font>
      <b/>
      <sz val="16"/>
      <color rgb="FFFFFFFF"/>
      <name val="Carlito"/>
    </font>
    <font>
      <sz val="2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F7F9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164" fontId="0" fillId="0" borderId="0" xfId="0" applyNumberFormat="1"/>
    <xf numFmtId="164" fontId="0" fillId="3" borderId="0" xfId="0" applyNumberFormat="1" applyFill="1"/>
    <xf numFmtId="0" fontId="0" fillId="3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0" xfId="0" applyFill="1"/>
    <xf numFmtId="165" fontId="0" fillId="0" borderId="0" xfId="0" applyNumberFormat="1"/>
    <xf numFmtId="14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166" fontId="0" fillId="3" borderId="0" xfId="0" applyNumberFormat="1" applyFill="1"/>
    <xf numFmtId="8" fontId="0" fillId="0" borderId="0" xfId="0" applyNumberFormat="1"/>
    <xf numFmtId="0" fontId="3" fillId="2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4" borderId="0" xfId="0" applyFill="1" applyAlignment="1">
      <alignment wrapText="1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6B45E-476A-41F2-8A14-5584FCF56A89}">
  <dimension ref="A4:D20"/>
  <sheetViews>
    <sheetView zoomScale="87" workbookViewId="0">
      <selection activeCell="D16" sqref="D16"/>
    </sheetView>
  </sheetViews>
  <sheetFormatPr baseColWidth="10" defaultRowHeight="14.4"/>
  <cols>
    <col min="2" max="2" width="37.88671875" bestFit="1" customWidth="1"/>
    <col min="3" max="4" width="56.21875" bestFit="1" customWidth="1"/>
  </cols>
  <sheetData>
    <row r="4" spans="1:4">
      <c r="B4" t="s">
        <v>9</v>
      </c>
      <c r="C4" t="s">
        <v>10</v>
      </c>
      <c r="D4" t="s">
        <v>11</v>
      </c>
    </row>
    <row r="5" spans="1:4">
      <c r="A5" s="19" t="s">
        <v>0</v>
      </c>
      <c r="B5" s="19"/>
      <c r="C5" s="19"/>
      <c r="D5" s="19"/>
    </row>
    <row r="6" spans="1:4">
      <c r="A6" t="s">
        <v>1</v>
      </c>
      <c r="B6" t="s">
        <v>83</v>
      </c>
      <c r="C6" t="str">
        <f>D20</f>
        <v>Poulet moutarde, pommes de terre &amp; carottes</v>
      </c>
      <c r="D6" t="s">
        <v>21</v>
      </c>
    </row>
    <row r="7" spans="1:4">
      <c r="A7" t="s">
        <v>2</v>
      </c>
      <c r="B7" t="s">
        <v>83</v>
      </c>
      <c r="C7" t="str">
        <f>D6</f>
        <v>Chili haricots rouges &amp; riz</v>
      </c>
      <c r="D7" t="s">
        <v>26</v>
      </c>
    </row>
    <row r="8" spans="1:4">
      <c r="A8" t="s">
        <v>3</v>
      </c>
      <c r="B8" t="s">
        <v>83</v>
      </c>
      <c r="C8" t="str">
        <f t="shared" ref="C8:C20" si="0">D7</f>
        <v>Poulet curry, carottes &amp; riz</v>
      </c>
      <c r="D8" t="s">
        <v>29</v>
      </c>
    </row>
    <row r="9" spans="1:4">
      <c r="A9" t="s">
        <v>4</v>
      </c>
      <c r="B9" t="s">
        <v>83</v>
      </c>
      <c r="C9" t="str">
        <f t="shared" si="0"/>
        <v>Pâtes au thon, tomate &amp; épinards</v>
      </c>
      <c r="D9" t="s">
        <v>32</v>
      </c>
    </row>
    <row r="10" spans="1:4">
      <c r="A10" t="s">
        <v>5</v>
      </c>
      <c r="B10" t="s">
        <v>83</v>
      </c>
      <c r="C10" t="str">
        <f t="shared" si="0"/>
        <v>Dhal lentilles corail, carottes &amp; riz</v>
      </c>
      <c r="D10" t="s">
        <v>34</v>
      </c>
    </row>
    <row r="11" spans="1:4">
      <c r="A11" t="s">
        <v>6</v>
      </c>
      <c r="B11" t="s">
        <v>83</v>
      </c>
      <c r="C11" t="str">
        <f t="shared" si="0"/>
        <v>Semoule, pois chiches &amp; légumes</v>
      </c>
      <c r="D11" t="s">
        <v>37</v>
      </c>
    </row>
    <row r="12" spans="1:4">
      <c r="A12" t="s">
        <v>7</v>
      </c>
      <c r="B12" t="s">
        <v>83</v>
      </c>
      <c r="C12" t="str">
        <f t="shared" si="0"/>
        <v>Poulet, pommes de terre &amp; haricots verts</v>
      </c>
      <c r="D12" t="s">
        <v>40</v>
      </c>
    </row>
    <row r="13" spans="1:4">
      <c r="A13" s="19" t="s">
        <v>8</v>
      </c>
      <c r="B13" s="19"/>
      <c r="C13" s="19"/>
      <c r="D13" s="19"/>
    </row>
    <row r="14" spans="1:4">
      <c r="A14" t="s">
        <v>1</v>
      </c>
      <c r="B14" t="s">
        <v>83</v>
      </c>
      <c r="C14" t="str">
        <f>D12</f>
        <v>Bolognaise de lentilles &amp; pâtes</v>
      </c>
      <c r="D14" t="s">
        <v>26</v>
      </c>
    </row>
    <row r="15" spans="1:4">
      <c r="A15" t="s">
        <v>2</v>
      </c>
      <c r="B15" t="s">
        <v>83</v>
      </c>
      <c r="C15" t="str">
        <f t="shared" si="0"/>
        <v>Poulet curry, carottes &amp; riz</v>
      </c>
      <c r="D15" t="s">
        <v>42</v>
      </c>
    </row>
    <row r="16" spans="1:4">
      <c r="A16" t="s">
        <v>3</v>
      </c>
      <c r="B16" t="s">
        <v>83</v>
      </c>
      <c r="C16" t="str">
        <f t="shared" si="0"/>
        <v>Riz au poulet, tomate &amp; petits pois</v>
      </c>
      <c r="D16" t="s">
        <v>46</v>
      </c>
    </row>
    <row r="17" spans="1:4">
      <c r="A17" t="s">
        <v>4</v>
      </c>
      <c r="B17" t="s">
        <v>83</v>
      </c>
      <c r="C17" t="str">
        <f t="shared" si="0"/>
        <v>Pâtes pois chiches, tomate &amp; épinards</v>
      </c>
      <c r="D17" t="s">
        <v>48</v>
      </c>
    </row>
    <row r="18" spans="1:4">
      <c r="A18" t="s">
        <v>5</v>
      </c>
      <c r="B18" t="s">
        <v>83</v>
      </c>
      <c r="C18" t="str">
        <f t="shared" si="0"/>
        <v>Riz lentilles corail, petits pois &amp; carottes</v>
      </c>
      <c r="D18" t="s">
        <v>54</v>
      </c>
    </row>
    <row r="19" spans="1:4">
      <c r="A19" t="s">
        <v>6</v>
      </c>
      <c r="B19" t="s">
        <v>83</v>
      </c>
      <c r="C19" t="str">
        <f t="shared" si="0"/>
        <v>Filet de poisson blanc, pommes de terre &amp; haricots verts</v>
      </c>
      <c r="D19" t="s">
        <v>50</v>
      </c>
    </row>
    <row r="20" spans="1:4">
      <c r="A20" t="s">
        <v>7</v>
      </c>
      <c r="B20" t="s">
        <v>83</v>
      </c>
      <c r="C20" t="str">
        <f t="shared" si="0"/>
        <v>Lentilles vertes, tomate &amp; pommes de terre</v>
      </c>
      <c r="D20" t="s">
        <v>44</v>
      </c>
    </row>
  </sheetData>
  <mergeCells count="2">
    <mergeCell ref="A5:D5"/>
    <mergeCell ref="A13:D13"/>
  </mergeCells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25D21C9-A59F-45F9-AB55-A09DD280107A}">
          <x14:formula1>
            <xm:f>Banque_recettes!$B$5:$B$100</xm:f>
          </x14:formula1>
          <xm:sqref>D14:D20 D6:D12 B6:B12 B14:B20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C77C6-215A-40FD-94DA-F44E3D49F4FE}">
  <dimension ref="A1:W22"/>
  <sheetViews>
    <sheetView zoomScale="106" workbookViewId="0">
      <selection activeCell="D20" sqref="D20"/>
    </sheetView>
  </sheetViews>
  <sheetFormatPr baseColWidth="10" defaultRowHeight="14.4"/>
  <cols>
    <col min="6" max="6" width="34.5546875" customWidth="1"/>
    <col min="13" max="13" width="37.88671875" bestFit="1" customWidth="1"/>
    <col min="14" max="15" width="56.21875" bestFit="1" customWidth="1"/>
    <col min="21" max="21" width="37.88671875" bestFit="1" customWidth="1"/>
    <col min="22" max="23" width="56.21875" bestFit="1" customWidth="1"/>
  </cols>
  <sheetData>
    <row r="1" spans="1:23" ht="21">
      <c r="A1" s="16" t="s">
        <v>179</v>
      </c>
      <c r="B1" s="16"/>
      <c r="C1" s="16"/>
      <c r="D1" s="16"/>
      <c r="E1" s="16"/>
      <c r="F1" s="16"/>
      <c r="G1" s="17"/>
      <c r="H1" s="17"/>
      <c r="I1" s="17"/>
    </row>
    <row r="2" spans="1:23">
      <c r="A2" s="18" t="s">
        <v>180</v>
      </c>
      <c r="B2" s="18"/>
      <c r="C2" s="18"/>
      <c r="D2" s="18"/>
      <c r="E2" s="18"/>
      <c r="F2" s="18"/>
      <c r="G2" s="18"/>
      <c r="H2" s="18"/>
      <c r="I2" s="18"/>
    </row>
    <row r="4" spans="1:23" ht="27.6">
      <c r="A4" s="3" t="s">
        <v>181</v>
      </c>
      <c r="B4" s="3" t="s">
        <v>182</v>
      </c>
      <c r="C4" s="3" t="s">
        <v>183</v>
      </c>
      <c r="D4" s="3" t="s">
        <v>184</v>
      </c>
      <c r="E4" s="3" t="s">
        <v>185</v>
      </c>
      <c r="F4" s="3" t="s">
        <v>90</v>
      </c>
      <c r="G4" s="3" t="s">
        <v>186</v>
      </c>
      <c r="H4" s="3" t="s">
        <v>187</v>
      </c>
      <c r="I4" s="3" t="s">
        <v>188</v>
      </c>
      <c r="M4" s="19" t="s">
        <v>197</v>
      </c>
      <c r="N4" s="19"/>
      <c r="O4" s="19"/>
      <c r="U4" s="19" t="s">
        <v>198</v>
      </c>
      <c r="V4" s="19"/>
      <c r="W4" s="19"/>
    </row>
    <row r="5" spans="1:23">
      <c r="A5" t="s">
        <v>0</v>
      </c>
      <c r="B5" s="9">
        <v>46279</v>
      </c>
      <c r="C5" s="6" t="b">
        <v>0</v>
      </c>
      <c r="D5" s="6" t="b">
        <v>1</v>
      </c>
      <c r="E5" s="6" t="b">
        <v>0</v>
      </c>
      <c r="G5">
        <f t="shared" ref="G5:G18" si="0">IF(C5,1,0)</f>
        <v>0</v>
      </c>
      <c r="H5">
        <f t="shared" ref="H5:H18" si="1">IF(D5,1,0)</f>
        <v>1</v>
      </c>
      <c r="I5">
        <f t="shared" ref="I5:I18" si="2">IF(E5,1,0)</f>
        <v>0</v>
      </c>
      <c r="M5" t="str" cm="1">
        <f t="array" ref="M5:O11">Menu!B6:D12</f>
        <v>Œuf, Avoine, Fromage blanc, Pomme</v>
      </c>
      <c r="N5" t="str">
        <v>Poulet moutarde, pommes de terre &amp; carottes</v>
      </c>
      <c r="O5" t="str">
        <v>Chili haricots rouges &amp; riz</v>
      </c>
      <c r="U5" t="str" cm="1">
        <f t="array" ref="U5:W18">IF(C5:E18,M5:O18,"")</f>
        <v/>
      </c>
      <c r="V5" t="str">
        <v>Poulet moutarde, pommes de terre &amp; carottes</v>
      </c>
      <c r="W5" t="str">
        <v/>
      </c>
    </row>
    <row r="6" spans="1:23">
      <c r="A6" t="s">
        <v>0</v>
      </c>
      <c r="B6" s="9">
        <v>46280</v>
      </c>
      <c r="C6" s="6" t="b">
        <v>0</v>
      </c>
      <c r="D6" s="6" t="b">
        <v>0</v>
      </c>
      <c r="E6" s="6" t="b">
        <v>1</v>
      </c>
      <c r="G6">
        <f t="shared" si="0"/>
        <v>0</v>
      </c>
      <c r="H6">
        <f t="shared" si="1"/>
        <v>0</v>
      </c>
      <c r="I6">
        <f t="shared" si="2"/>
        <v>1</v>
      </c>
      <c r="M6" t="str">
        <v>Œuf, Avoine, Fromage blanc, Pomme</v>
      </c>
      <c r="N6" t="str">
        <v>Chili haricots rouges &amp; riz</v>
      </c>
      <c r="O6" t="str">
        <v>Poulet curry, carottes &amp; riz</v>
      </c>
      <c r="U6" t="str">
        <v/>
      </c>
      <c r="V6" t="str">
        <v/>
      </c>
      <c r="W6" t="str">
        <v>Poulet curry, carottes &amp; riz</v>
      </c>
    </row>
    <row r="7" spans="1:23">
      <c r="A7" t="s">
        <v>0</v>
      </c>
      <c r="B7" s="9">
        <v>46281</v>
      </c>
      <c r="C7" s="6" t="b">
        <v>0</v>
      </c>
      <c r="D7" s="6" t="b">
        <v>1</v>
      </c>
      <c r="E7" s="6" t="b">
        <v>1</v>
      </c>
      <c r="G7">
        <f t="shared" si="0"/>
        <v>0</v>
      </c>
      <c r="H7">
        <f t="shared" si="1"/>
        <v>1</v>
      </c>
      <c r="I7">
        <f t="shared" si="2"/>
        <v>1</v>
      </c>
      <c r="M7" t="str">
        <v>Œuf, Avoine, Fromage blanc, Pomme</v>
      </c>
      <c r="N7" t="str">
        <v>Poulet curry, carottes &amp; riz</v>
      </c>
      <c r="O7" t="str">
        <v>Pâtes au thon, tomate &amp; épinards</v>
      </c>
      <c r="U7" t="str">
        <v/>
      </c>
      <c r="V7" t="str">
        <v>Poulet curry, carottes &amp; riz</v>
      </c>
      <c r="W7" t="str">
        <v>Pâtes au thon, tomate &amp; épinards</v>
      </c>
    </row>
    <row r="8" spans="1:23">
      <c r="A8" t="s">
        <v>0</v>
      </c>
      <c r="B8" s="9">
        <v>46282</v>
      </c>
      <c r="C8" s="6" t="b">
        <v>0</v>
      </c>
      <c r="D8" s="6" t="b">
        <v>1</v>
      </c>
      <c r="E8" s="6" t="b">
        <v>1</v>
      </c>
      <c r="G8">
        <f t="shared" si="0"/>
        <v>0</v>
      </c>
      <c r="H8">
        <f t="shared" si="1"/>
        <v>1</v>
      </c>
      <c r="I8">
        <f t="shared" si="2"/>
        <v>1</v>
      </c>
      <c r="M8" t="str">
        <v>Œuf, Avoine, Fromage blanc, Pomme</v>
      </c>
      <c r="N8" t="str">
        <v>Pâtes au thon, tomate &amp; épinards</v>
      </c>
      <c r="O8" t="str">
        <v>Dhal lentilles corail, carottes &amp; riz</v>
      </c>
      <c r="U8" t="str">
        <v/>
      </c>
      <c r="V8" t="str">
        <v>Pâtes au thon, tomate &amp; épinards</v>
      </c>
      <c r="W8" t="str">
        <v>Dhal lentilles corail, carottes &amp; riz</v>
      </c>
    </row>
    <row r="9" spans="1:23">
      <c r="A9" t="s">
        <v>0</v>
      </c>
      <c r="B9" s="9">
        <v>46283</v>
      </c>
      <c r="C9" s="6" t="b">
        <v>0</v>
      </c>
      <c r="D9" s="6" t="b">
        <v>1</v>
      </c>
      <c r="E9" s="6" t="b">
        <v>1</v>
      </c>
      <c r="G9">
        <f t="shared" si="0"/>
        <v>0</v>
      </c>
      <c r="H9">
        <f t="shared" si="1"/>
        <v>1</v>
      </c>
      <c r="I9">
        <f t="shared" si="2"/>
        <v>1</v>
      </c>
      <c r="M9" t="str">
        <v>Œuf, Avoine, Fromage blanc, Pomme</v>
      </c>
      <c r="N9" t="str">
        <v>Dhal lentilles corail, carottes &amp; riz</v>
      </c>
      <c r="O9" t="str">
        <v>Semoule, pois chiches &amp; légumes</v>
      </c>
      <c r="U9" t="str">
        <v/>
      </c>
      <c r="V9" t="str">
        <v>Dhal lentilles corail, carottes &amp; riz</v>
      </c>
      <c r="W9" t="str">
        <v>Semoule, pois chiches &amp; légumes</v>
      </c>
    </row>
    <row r="10" spans="1:23">
      <c r="A10" t="s">
        <v>0</v>
      </c>
      <c r="B10" s="9">
        <v>46284</v>
      </c>
      <c r="C10" s="6" t="b">
        <v>0</v>
      </c>
      <c r="D10" s="6" t="b">
        <v>1</v>
      </c>
      <c r="E10" s="6" t="b">
        <v>0</v>
      </c>
      <c r="G10">
        <f t="shared" si="0"/>
        <v>0</v>
      </c>
      <c r="H10">
        <f t="shared" si="1"/>
        <v>1</v>
      </c>
      <c r="I10">
        <f t="shared" si="2"/>
        <v>0</v>
      </c>
      <c r="M10" t="str">
        <v>Œuf, Avoine, Fromage blanc, Pomme</v>
      </c>
      <c r="N10" t="str">
        <v>Semoule, pois chiches &amp; légumes</v>
      </c>
      <c r="O10" t="str">
        <v>Poulet, pommes de terre &amp; haricots verts</v>
      </c>
      <c r="U10" t="str">
        <v/>
      </c>
      <c r="V10" t="str">
        <v>Semoule, pois chiches &amp; légumes</v>
      </c>
      <c r="W10" t="str">
        <v/>
      </c>
    </row>
    <row r="11" spans="1:23">
      <c r="A11" t="s">
        <v>0</v>
      </c>
      <c r="B11" s="9">
        <v>46285</v>
      </c>
      <c r="C11" s="6" t="b">
        <v>0</v>
      </c>
      <c r="D11" s="6" t="b">
        <v>0</v>
      </c>
      <c r="E11" s="6" t="b">
        <v>1</v>
      </c>
      <c r="G11">
        <f t="shared" si="0"/>
        <v>0</v>
      </c>
      <c r="H11">
        <f t="shared" si="1"/>
        <v>0</v>
      </c>
      <c r="I11">
        <f t="shared" si="2"/>
        <v>1</v>
      </c>
      <c r="M11" t="str">
        <v>Œuf, Avoine, Fromage blanc, Pomme</v>
      </c>
      <c r="N11" t="str">
        <v>Poulet, pommes de terre &amp; haricots verts</v>
      </c>
      <c r="O11" t="str">
        <v>Bolognaise de lentilles &amp; pâtes</v>
      </c>
      <c r="U11" t="str">
        <v/>
      </c>
      <c r="V11" t="str">
        <v/>
      </c>
      <c r="W11" t="str">
        <v>Bolognaise de lentilles &amp; pâtes</v>
      </c>
    </row>
    <row r="12" spans="1:23">
      <c r="A12" t="s">
        <v>8</v>
      </c>
      <c r="B12" s="9">
        <v>46286</v>
      </c>
      <c r="C12" s="6" t="b">
        <v>1</v>
      </c>
      <c r="D12" s="6" t="b">
        <v>1</v>
      </c>
      <c r="E12" s="6" t="b">
        <v>1</v>
      </c>
      <c r="G12">
        <f t="shared" si="0"/>
        <v>1</v>
      </c>
      <c r="H12">
        <f t="shared" si="1"/>
        <v>1</v>
      </c>
      <c r="I12">
        <f t="shared" si="2"/>
        <v>1</v>
      </c>
      <c r="M12" t="str" cm="1">
        <f t="array" ref="M12:O18">Menu!B14:D20</f>
        <v>Œuf, Avoine, Fromage blanc, Pomme</v>
      </c>
      <c r="N12" t="str">
        <v>Bolognaise de lentilles &amp; pâtes</v>
      </c>
      <c r="O12" t="str">
        <v>Poulet curry, carottes &amp; riz</v>
      </c>
      <c r="U12" t="str">
        <v>Œuf, Avoine, Fromage blanc, Pomme</v>
      </c>
      <c r="V12" t="str">
        <v>Bolognaise de lentilles &amp; pâtes</v>
      </c>
      <c r="W12" t="str">
        <v>Poulet curry, carottes &amp; riz</v>
      </c>
    </row>
    <row r="13" spans="1:23">
      <c r="A13" t="s">
        <v>8</v>
      </c>
      <c r="B13" s="9">
        <v>46287</v>
      </c>
      <c r="C13" s="6" t="b">
        <v>1</v>
      </c>
      <c r="D13" s="6" t="b">
        <v>1</v>
      </c>
      <c r="E13" s="6" t="b">
        <v>1</v>
      </c>
      <c r="G13">
        <f t="shared" si="0"/>
        <v>1</v>
      </c>
      <c r="H13">
        <f t="shared" si="1"/>
        <v>1</v>
      </c>
      <c r="I13">
        <f t="shared" si="2"/>
        <v>1</v>
      </c>
      <c r="M13" t="str">
        <v>Œuf, Avoine, Fromage blanc, Pomme</v>
      </c>
      <c r="N13" t="str">
        <v>Poulet curry, carottes &amp; riz</v>
      </c>
      <c r="O13" t="str">
        <v>Riz au poulet, tomate &amp; petits pois</v>
      </c>
      <c r="U13" t="str">
        <v>Œuf, Avoine, Fromage blanc, Pomme</v>
      </c>
      <c r="V13" t="str">
        <v>Poulet curry, carottes &amp; riz</v>
      </c>
      <c r="W13" t="str">
        <v>Riz au poulet, tomate &amp; petits pois</v>
      </c>
    </row>
    <row r="14" spans="1:23">
      <c r="A14" t="s">
        <v>8</v>
      </c>
      <c r="B14" s="9">
        <v>46288</v>
      </c>
      <c r="C14" s="6" t="b">
        <v>1</v>
      </c>
      <c r="D14" s="6" t="b">
        <v>1</v>
      </c>
      <c r="E14" s="6" t="b">
        <v>1</v>
      </c>
      <c r="G14">
        <f t="shared" si="0"/>
        <v>1</v>
      </c>
      <c r="H14">
        <f t="shared" si="1"/>
        <v>1</v>
      </c>
      <c r="I14">
        <f t="shared" si="2"/>
        <v>1</v>
      </c>
      <c r="M14" t="str">
        <v>Œuf, Avoine, Fromage blanc, Pomme</v>
      </c>
      <c r="N14" t="str">
        <v>Riz au poulet, tomate &amp; petits pois</v>
      </c>
      <c r="O14" t="str">
        <v>Pâtes pois chiches, tomate &amp; épinards</v>
      </c>
      <c r="U14" t="str">
        <v>Œuf, Avoine, Fromage blanc, Pomme</v>
      </c>
      <c r="V14" t="str">
        <v>Riz au poulet, tomate &amp; petits pois</v>
      </c>
      <c r="W14" t="str">
        <v>Pâtes pois chiches, tomate &amp; épinards</v>
      </c>
    </row>
    <row r="15" spans="1:23">
      <c r="A15" t="s">
        <v>8</v>
      </c>
      <c r="B15" s="9">
        <v>46289</v>
      </c>
      <c r="C15" s="6" t="b">
        <v>1</v>
      </c>
      <c r="D15" s="6" t="b">
        <v>1</v>
      </c>
      <c r="E15" s="6" t="b">
        <v>1</v>
      </c>
      <c r="G15">
        <f t="shared" si="0"/>
        <v>1</v>
      </c>
      <c r="H15">
        <f t="shared" si="1"/>
        <v>1</v>
      </c>
      <c r="I15">
        <f t="shared" si="2"/>
        <v>1</v>
      </c>
      <c r="M15" t="str">
        <v>Œuf, Avoine, Fromage blanc, Pomme</v>
      </c>
      <c r="N15" t="str">
        <v>Pâtes pois chiches, tomate &amp; épinards</v>
      </c>
      <c r="O15" t="str">
        <v>Riz lentilles corail, petits pois &amp; carottes</v>
      </c>
      <c r="U15" t="str">
        <v>Œuf, Avoine, Fromage blanc, Pomme</v>
      </c>
      <c r="V15" t="str">
        <v>Pâtes pois chiches, tomate &amp; épinards</v>
      </c>
      <c r="W15" t="str">
        <v>Riz lentilles corail, petits pois &amp; carottes</v>
      </c>
    </row>
    <row r="16" spans="1:23">
      <c r="A16" t="s">
        <v>8</v>
      </c>
      <c r="B16" s="9">
        <v>46290</v>
      </c>
      <c r="C16" s="6" t="b">
        <v>1</v>
      </c>
      <c r="D16" s="6" t="b">
        <v>1</v>
      </c>
      <c r="E16" s="6" t="b">
        <v>0</v>
      </c>
      <c r="G16">
        <f t="shared" si="0"/>
        <v>1</v>
      </c>
      <c r="H16">
        <f t="shared" si="1"/>
        <v>1</v>
      </c>
      <c r="I16">
        <f t="shared" si="2"/>
        <v>0</v>
      </c>
      <c r="M16" t="str">
        <v>Œuf, Avoine, Fromage blanc, Pomme</v>
      </c>
      <c r="N16" t="str">
        <v>Riz lentilles corail, petits pois &amp; carottes</v>
      </c>
      <c r="O16" t="str">
        <v>Filet de poisson blanc, pommes de terre &amp; haricots verts</v>
      </c>
      <c r="U16" t="str">
        <v>Œuf, Avoine, Fromage blanc, Pomme</v>
      </c>
      <c r="V16" t="str">
        <v>Riz lentilles corail, petits pois &amp; carottes</v>
      </c>
      <c r="W16" t="str">
        <v/>
      </c>
    </row>
    <row r="17" spans="1:23">
      <c r="A17" t="s">
        <v>8</v>
      </c>
      <c r="B17" s="9">
        <v>46291</v>
      </c>
      <c r="C17" s="6" t="b">
        <v>0</v>
      </c>
      <c r="D17" s="6" t="b">
        <v>0</v>
      </c>
      <c r="E17" s="6" t="b">
        <v>0</v>
      </c>
      <c r="G17">
        <f t="shared" si="0"/>
        <v>0</v>
      </c>
      <c r="H17">
        <f t="shared" si="1"/>
        <v>0</v>
      </c>
      <c r="I17">
        <f t="shared" si="2"/>
        <v>0</v>
      </c>
      <c r="M17" t="str">
        <v>Œuf, Avoine, Fromage blanc, Pomme</v>
      </c>
      <c r="N17" t="str">
        <v>Filet de poisson blanc, pommes de terre &amp; haricots verts</v>
      </c>
      <c r="O17" t="str">
        <v>Lentilles vertes, tomate &amp; pommes de terre</v>
      </c>
      <c r="U17" t="str">
        <v/>
      </c>
      <c r="V17" t="str">
        <v/>
      </c>
      <c r="W17" t="str">
        <v/>
      </c>
    </row>
    <row r="18" spans="1:23">
      <c r="A18" t="s">
        <v>8</v>
      </c>
      <c r="B18" s="9">
        <v>46292</v>
      </c>
      <c r="C18" s="6" t="b">
        <v>0</v>
      </c>
      <c r="D18" s="6" t="b">
        <v>0</v>
      </c>
      <c r="E18" s="6" t="b">
        <v>1</v>
      </c>
      <c r="G18">
        <f t="shared" si="0"/>
        <v>0</v>
      </c>
      <c r="H18">
        <f t="shared" si="1"/>
        <v>0</v>
      </c>
      <c r="I18">
        <f t="shared" si="2"/>
        <v>1</v>
      </c>
      <c r="M18" t="str">
        <v>Œuf, Avoine, Fromage blanc, Pomme</v>
      </c>
      <c r="N18" t="str">
        <v>Lentilles vertes, tomate &amp; pommes de terre</v>
      </c>
      <c r="O18" t="str">
        <v>Poulet moutarde, pommes de terre &amp; carottes</v>
      </c>
      <c r="U18" t="str">
        <v/>
      </c>
      <c r="V18" t="str">
        <v/>
      </c>
      <c r="W18" t="str">
        <v>Poulet moutarde, pommes de terre &amp; carottes</v>
      </c>
    </row>
    <row r="21" spans="1:23">
      <c r="H21" s="13"/>
      <c r="I21" s="13"/>
    </row>
    <row r="22" spans="1:23">
      <c r="H22" s="1"/>
      <c r="I22" s="1"/>
    </row>
  </sheetData>
  <mergeCells count="4">
    <mergeCell ref="A1:I1"/>
    <mergeCell ref="A2:I2"/>
    <mergeCell ref="M4:O4"/>
    <mergeCell ref="U4:W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0AA3C-2BE9-4798-BB2C-7E5483081CE1}">
  <dimension ref="A1:E398"/>
  <sheetViews>
    <sheetView tabSelected="1" topLeftCell="A14" workbookViewId="0">
      <selection activeCell="E34" sqref="E34"/>
    </sheetView>
  </sheetViews>
  <sheetFormatPr baseColWidth="10" defaultRowHeight="14.4"/>
  <cols>
    <col min="2" max="2" width="23.6640625" bestFit="1" customWidth="1"/>
    <col min="5" max="5" width="43.33203125" customWidth="1"/>
  </cols>
  <sheetData>
    <row r="1" spans="1:5" ht="21">
      <c r="A1" s="16" t="s">
        <v>173</v>
      </c>
      <c r="B1" s="16"/>
      <c r="C1" s="16"/>
      <c r="D1" s="16"/>
      <c r="E1" s="16"/>
    </row>
    <row r="2" spans="1:5" ht="14.4" customHeight="1">
      <c r="A2" s="20" t="s">
        <v>195</v>
      </c>
      <c r="B2" s="20"/>
      <c r="C2" s="20"/>
      <c r="D2" s="20"/>
      <c r="E2" s="20"/>
    </row>
    <row r="4" spans="1:5" ht="41.4">
      <c r="A4" s="3" t="s">
        <v>86</v>
      </c>
      <c r="B4" s="3" t="s">
        <v>87</v>
      </c>
      <c r="C4" s="3" t="s">
        <v>88</v>
      </c>
      <c r="D4" s="3" t="s">
        <v>89</v>
      </c>
      <c r="E4" s="3" t="s">
        <v>90</v>
      </c>
    </row>
    <row r="5" spans="1:5">
      <c r="A5" t="s">
        <v>91</v>
      </c>
      <c r="B5" t="s">
        <v>92</v>
      </c>
      <c r="C5" s="4">
        <v>1.9</v>
      </c>
      <c r="D5" s="5">
        <v>6.32</v>
      </c>
      <c r="E5" t="s">
        <v>93</v>
      </c>
    </row>
    <row r="6" spans="1:5">
      <c r="A6" t="s">
        <v>94</v>
      </c>
      <c r="B6" t="s">
        <v>95</v>
      </c>
      <c r="C6" s="4">
        <v>2.2999999999999998</v>
      </c>
      <c r="D6" s="5">
        <v>1.83</v>
      </c>
      <c r="E6" t="s">
        <v>96</v>
      </c>
    </row>
    <row r="7" spans="1:5">
      <c r="A7" t="s">
        <v>97</v>
      </c>
      <c r="B7" t="s">
        <v>98</v>
      </c>
      <c r="C7" s="4">
        <v>5</v>
      </c>
      <c r="D7" s="5">
        <f>0.26*60/1000</f>
        <v>1.5600000000000001E-2</v>
      </c>
      <c r="E7" t="s">
        <v>99</v>
      </c>
    </row>
    <row r="8" spans="1:5">
      <c r="A8" t="s">
        <v>100</v>
      </c>
      <c r="B8" t="s">
        <v>101</v>
      </c>
      <c r="C8" s="4">
        <v>2.13</v>
      </c>
      <c r="D8" s="5">
        <v>3.99</v>
      </c>
      <c r="E8" t="s">
        <v>102</v>
      </c>
    </row>
    <row r="9" spans="1:5">
      <c r="A9" t="s">
        <v>103</v>
      </c>
      <c r="B9" t="s">
        <v>104</v>
      </c>
      <c r="C9" s="4">
        <v>2.2000000000000002</v>
      </c>
      <c r="D9" s="5">
        <v>4.22</v>
      </c>
      <c r="E9" t="s">
        <v>105</v>
      </c>
    </row>
    <row r="10" spans="1:5">
      <c r="A10" t="s">
        <v>106</v>
      </c>
      <c r="B10" t="s">
        <v>107</v>
      </c>
      <c r="C10" s="4">
        <v>1.7</v>
      </c>
      <c r="D10" s="5">
        <v>1.32</v>
      </c>
      <c r="E10" t="s">
        <v>105</v>
      </c>
    </row>
    <row r="11" spans="1:5">
      <c r="A11" t="s">
        <v>108</v>
      </c>
      <c r="B11" t="s">
        <v>109</v>
      </c>
      <c r="C11" s="4">
        <v>3.96</v>
      </c>
      <c r="D11" s="5"/>
      <c r="E11" t="s">
        <v>110</v>
      </c>
    </row>
    <row r="12" spans="1:5">
      <c r="A12" t="s">
        <v>111</v>
      </c>
      <c r="B12" t="s">
        <v>112</v>
      </c>
      <c r="C12" s="4">
        <v>3.75</v>
      </c>
      <c r="D12" s="5"/>
      <c r="E12" t="s">
        <v>110</v>
      </c>
    </row>
    <row r="13" spans="1:5">
      <c r="A13" t="s">
        <v>113</v>
      </c>
      <c r="B13" t="s">
        <v>114</v>
      </c>
      <c r="C13" s="4">
        <v>2.13</v>
      </c>
      <c r="D13" s="5">
        <v>1.99</v>
      </c>
      <c r="E13" t="s">
        <v>115</v>
      </c>
    </row>
    <row r="14" spans="1:5">
      <c r="A14" t="s">
        <v>116</v>
      </c>
      <c r="B14" t="s">
        <v>117</v>
      </c>
      <c r="C14" s="4">
        <v>1.8</v>
      </c>
      <c r="D14" s="5">
        <v>1.53</v>
      </c>
    </row>
    <row r="15" spans="1:5">
      <c r="A15" t="s">
        <v>118</v>
      </c>
      <c r="B15" t="s">
        <v>119</v>
      </c>
      <c r="C15" s="4">
        <v>1.5</v>
      </c>
      <c r="D15" s="5">
        <v>1.99</v>
      </c>
    </row>
    <row r="16" spans="1:5">
      <c r="A16" t="s">
        <v>120</v>
      </c>
      <c r="B16" t="s">
        <v>121</v>
      </c>
      <c r="C16" s="4">
        <v>7.9</v>
      </c>
      <c r="D16" s="5">
        <v>11.75</v>
      </c>
      <c r="E16" t="s">
        <v>122</v>
      </c>
    </row>
    <row r="17" spans="1:5">
      <c r="A17" t="s">
        <v>123</v>
      </c>
      <c r="B17" t="s">
        <v>124</v>
      </c>
      <c r="C17" s="4">
        <v>2.5</v>
      </c>
      <c r="D17" s="5"/>
    </row>
    <row r="18" spans="1:5">
      <c r="A18" t="s">
        <v>125</v>
      </c>
      <c r="B18" t="s">
        <v>126</v>
      </c>
      <c r="C18" s="4">
        <v>3.6</v>
      </c>
      <c r="D18" s="5">
        <v>4.72</v>
      </c>
      <c r="E18" t="s">
        <v>127</v>
      </c>
    </row>
    <row r="19" spans="1:5">
      <c r="A19" t="s">
        <v>128</v>
      </c>
      <c r="B19" t="s">
        <v>129</v>
      </c>
      <c r="C19" s="4">
        <v>3</v>
      </c>
      <c r="D19" s="5"/>
      <c r="E19" t="s">
        <v>127</v>
      </c>
    </row>
    <row r="20" spans="1:5">
      <c r="A20" t="s">
        <v>130</v>
      </c>
      <c r="B20" t="s">
        <v>131</v>
      </c>
      <c r="C20" s="4">
        <v>2.4</v>
      </c>
      <c r="D20" s="5"/>
      <c r="E20" t="s">
        <v>127</v>
      </c>
    </row>
    <row r="21" spans="1:5">
      <c r="A21" t="s">
        <v>132</v>
      </c>
      <c r="B21" t="s">
        <v>133</v>
      </c>
      <c r="C21" s="4">
        <v>2.2999999999999998</v>
      </c>
      <c r="D21" s="5"/>
    </row>
    <row r="22" spans="1:5">
      <c r="A22" t="s">
        <v>134</v>
      </c>
      <c r="B22" t="s">
        <v>135</v>
      </c>
      <c r="C22" s="4">
        <v>1.6</v>
      </c>
      <c r="D22" s="5"/>
      <c r="E22" t="s">
        <v>136</v>
      </c>
    </row>
    <row r="23" spans="1:5">
      <c r="A23" t="s">
        <v>137</v>
      </c>
      <c r="B23" t="s">
        <v>138</v>
      </c>
      <c r="C23" s="4">
        <v>2.6</v>
      </c>
      <c r="D23" s="5"/>
    </row>
    <row r="24" spans="1:5">
      <c r="A24" t="s">
        <v>139</v>
      </c>
      <c r="B24" t="s">
        <v>140</v>
      </c>
      <c r="C24" s="4">
        <v>11.43</v>
      </c>
      <c r="D24" s="5">
        <v>15.93</v>
      </c>
      <c r="E24" t="s">
        <v>110</v>
      </c>
    </row>
    <row r="25" spans="1:5">
      <c r="A25" t="s">
        <v>141</v>
      </c>
      <c r="B25" t="s">
        <v>142</v>
      </c>
      <c r="C25" s="4">
        <v>2.2000000000000002</v>
      </c>
      <c r="D25" s="5"/>
    </row>
    <row r="26" spans="1:5">
      <c r="A26" t="s">
        <v>143</v>
      </c>
      <c r="B26" t="s">
        <v>144</v>
      </c>
      <c r="C26" s="4">
        <v>11.25</v>
      </c>
      <c r="D26" s="5"/>
      <c r="E26" t="s">
        <v>145</v>
      </c>
    </row>
    <row r="27" spans="1:5">
      <c r="A27" t="s">
        <v>146</v>
      </c>
      <c r="B27" t="s">
        <v>147</v>
      </c>
      <c r="C27" s="4">
        <v>25</v>
      </c>
      <c r="D27" s="5"/>
      <c r="E27" t="s">
        <v>148</v>
      </c>
    </row>
    <row r="28" spans="1:5">
      <c r="A28" t="s">
        <v>149</v>
      </c>
      <c r="B28" t="s">
        <v>150</v>
      </c>
      <c r="C28" s="4">
        <v>25</v>
      </c>
      <c r="D28" s="5"/>
      <c r="E28" t="s">
        <v>148</v>
      </c>
    </row>
    <row r="29" spans="1:5">
      <c r="A29" t="s">
        <v>151</v>
      </c>
      <c r="B29" t="s">
        <v>152</v>
      </c>
      <c r="C29" s="4">
        <v>25</v>
      </c>
      <c r="D29" s="5"/>
      <c r="E29" t="s">
        <v>148</v>
      </c>
    </row>
    <row r="30" spans="1:5">
      <c r="A30" t="s">
        <v>153</v>
      </c>
      <c r="B30" t="s">
        <v>154</v>
      </c>
      <c r="C30" s="4">
        <v>3.43</v>
      </c>
      <c r="D30" s="5"/>
      <c r="E30" t="s">
        <v>155</v>
      </c>
    </row>
    <row r="31" spans="1:5">
      <c r="A31" t="s">
        <v>156</v>
      </c>
      <c r="B31" t="s">
        <v>157</v>
      </c>
      <c r="C31" s="4">
        <v>30</v>
      </c>
      <c r="D31" s="5"/>
      <c r="E31" t="s">
        <v>148</v>
      </c>
    </row>
    <row r="32" spans="1:5">
      <c r="A32" t="s">
        <v>158</v>
      </c>
      <c r="B32" t="s">
        <v>159</v>
      </c>
      <c r="C32" s="4">
        <v>3.5</v>
      </c>
      <c r="D32" s="5"/>
      <c r="E32" t="s">
        <v>160</v>
      </c>
    </row>
    <row r="33" spans="1:5">
      <c r="A33" t="s">
        <v>215</v>
      </c>
      <c r="B33" t="s">
        <v>210</v>
      </c>
      <c r="D33" s="5"/>
      <c r="E33" t="s">
        <v>216</v>
      </c>
    </row>
    <row r="34" spans="1:5">
      <c r="D34" s="5"/>
    </row>
    <row r="35" spans="1:5">
      <c r="D35" s="5"/>
    </row>
    <row r="36" spans="1:5">
      <c r="D36" s="5"/>
    </row>
    <row r="37" spans="1:5">
      <c r="D37" s="5"/>
    </row>
    <row r="38" spans="1:5">
      <c r="D38" s="5"/>
    </row>
    <row r="39" spans="1:5">
      <c r="D39" s="5"/>
    </row>
    <row r="40" spans="1:5">
      <c r="D40" s="5"/>
    </row>
    <row r="41" spans="1:5">
      <c r="D41" s="5"/>
    </row>
    <row r="42" spans="1:5">
      <c r="D42" s="5"/>
    </row>
    <row r="43" spans="1:5">
      <c r="D43" s="5"/>
    </row>
    <row r="44" spans="1:5">
      <c r="D44" s="5"/>
    </row>
    <row r="45" spans="1:5">
      <c r="D45" s="5"/>
    </row>
    <row r="46" spans="1:5">
      <c r="D46" s="5"/>
    </row>
    <row r="47" spans="1:5">
      <c r="D47" s="5"/>
    </row>
    <row r="48" spans="1:5">
      <c r="D48" s="5"/>
    </row>
    <row r="49" spans="4:4">
      <c r="D49" s="5"/>
    </row>
    <row r="50" spans="4:4">
      <c r="D50" s="5"/>
    </row>
    <row r="51" spans="4:4">
      <c r="D51" s="5"/>
    </row>
    <row r="52" spans="4:4">
      <c r="D52" s="5"/>
    </row>
    <row r="53" spans="4:4">
      <c r="D53" s="5"/>
    </row>
    <row r="54" spans="4:4">
      <c r="D54" s="5"/>
    </row>
    <row r="55" spans="4:4">
      <c r="D55" s="5"/>
    </row>
    <row r="56" spans="4:4">
      <c r="D56" s="5"/>
    </row>
    <row r="57" spans="4:4">
      <c r="D57" s="5"/>
    </row>
    <row r="58" spans="4:4">
      <c r="D58" s="5"/>
    </row>
    <row r="59" spans="4:4">
      <c r="D59" s="5"/>
    </row>
    <row r="60" spans="4:4">
      <c r="D60" s="5"/>
    </row>
    <row r="61" spans="4:4">
      <c r="D61" s="5"/>
    </row>
    <row r="62" spans="4:4">
      <c r="D62" s="5"/>
    </row>
    <row r="63" spans="4:4">
      <c r="D63" s="5"/>
    </row>
    <row r="64" spans="4:4">
      <c r="D64" s="5"/>
    </row>
    <row r="65" spans="4:4">
      <c r="D65" s="5"/>
    </row>
    <row r="66" spans="4:4">
      <c r="D66" s="5"/>
    </row>
    <row r="67" spans="4:4">
      <c r="D67" s="5"/>
    </row>
    <row r="68" spans="4:4">
      <c r="D68" s="5"/>
    </row>
    <row r="69" spans="4:4">
      <c r="D69" s="5"/>
    </row>
    <row r="70" spans="4:4">
      <c r="D70" s="5"/>
    </row>
    <row r="71" spans="4:4">
      <c r="D71" s="5"/>
    </row>
    <row r="72" spans="4:4">
      <c r="D72" s="5"/>
    </row>
    <row r="73" spans="4:4">
      <c r="D73" s="5"/>
    </row>
    <row r="74" spans="4:4">
      <c r="D74" s="5"/>
    </row>
    <row r="75" spans="4:4">
      <c r="D75" s="5"/>
    </row>
    <row r="76" spans="4:4">
      <c r="D76" s="5"/>
    </row>
    <row r="77" spans="4:4">
      <c r="D77" s="5"/>
    </row>
    <row r="78" spans="4:4">
      <c r="D78" s="5"/>
    </row>
    <row r="79" spans="4:4">
      <c r="D79" s="5"/>
    </row>
    <row r="80" spans="4:4">
      <c r="D80" s="5"/>
    </row>
    <row r="81" spans="4:4">
      <c r="D81" s="5"/>
    </row>
    <row r="82" spans="4:4">
      <c r="D82" s="5"/>
    </row>
    <row r="83" spans="4:4">
      <c r="D83" s="5"/>
    </row>
    <row r="84" spans="4:4">
      <c r="D84" s="5"/>
    </row>
    <row r="85" spans="4:4">
      <c r="D85" s="5"/>
    </row>
    <row r="86" spans="4:4">
      <c r="D86" s="5"/>
    </row>
    <row r="87" spans="4:4">
      <c r="D87" s="5"/>
    </row>
    <row r="88" spans="4:4">
      <c r="D88" s="5"/>
    </row>
    <row r="89" spans="4:4">
      <c r="D89" s="5"/>
    </row>
    <row r="90" spans="4:4">
      <c r="D90" s="5"/>
    </row>
    <row r="91" spans="4:4">
      <c r="D91" s="5"/>
    </row>
    <row r="92" spans="4:4">
      <c r="D92" s="5"/>
    </row>
    <row r="93" spans="4:4">
      <c r="D93" s="5"/>
    </row>
    <row r="94" spans="4:4">
      <c r="D94" s="5"/>
    </row>
    <row r="95" spans="4:4">
      <c r="D95" s="5"/>
    </row>
    <row r="96" spans="4:4">
      <c r="D96" s="5"/>
    </row>
    <row r="97" spans="4:4">
      <c r="D97" s="5"/>
    </row>
    <row r="98" spans="4:4">
      <c r="D98" s="5"/>
    </row>
    <row r="99" spans="4:4">
      <c r="D99" s="5"/>
    </row>
    <row r="100" spans="4:4">
      <c r="D100" s="5"/>
    </row>
    <row r="101" spans="4:4">
      <c r="D101" s="5"/>
    </row>
    <row r="102" spans="4:4">
      <c r="D102" s="5"/>
    </row>
    <row r="103" spans="4:4">
      <c r="D103" s="5"/>
    </row>
    <row r="104" spans="4:4">
      <c r="D104" s="5"/>
    </row>
    <row r="105" spans="4:4">
      <c r="D105" s="5"/>
    </row>
    <row r="106" spans="4:4">
      <c r="D106" s="5"/>
    </row>
    <row r="107" spans="4:4">
      <c r="D107" s="5"/>
    </row>
    <row r="108" spans="4:4">
      <c r="D108" s="5"/>
    </row>
    <row r="109" spans="4:4">
      <c r="D109" s="5"/>
    </row>
    <row r="110" spans="4:4">
      <c r="D110" s="5"/>
    </row>
    <row r="111" spans="4:4">
      <c r="D111" s="5"/>
    </row>
    <row r="112" spans="4:4">
      <c r="D112" s="5"/>
    </row>
    <row r="113" spans="4:4">
      <c r="D113" s="5"/>
    </row>
    <row r="114" spans="4:4">
      <c r="D114" s="5"/>
    </row>
    <row r="115" spans="4:4">
      <c r="D115" s="5"/>
    </row>
    <row r="116" spans="4:4">
      <c r="D116" s="5"/>
    </row>
    <row r="117" spans="4:4">
      <c r="D117" s="5"/>
    </row>
    <row r="118" spans="4:4">
      <c r="D118" s="5"/>
    </row>
    <row r="119" spans="4:4">
      <c r="D119" s="5"/>
    </row>
    <row r="120" spans="4:4">
      <c r="D120" s="5"/>
    </row>
    <row r="121" spans="4:4">
      <c r="D121" s="5"/>
    </row>
    <row r="122" spans="4:4">
      <c r="D122" s="5"/>
    </row>
    <row r="123" spans="4:4">
      <c r="D123" s="5"/>
    </row>
    <row r="124" spans="4:4">
      <c r="D124" s="5"/>
    </row>
    <row r="125" spans="4:4">
      <c r="D125" s="5"/>
    </row>
    <row r="126" spans="4:4">
      <c r="D126" s="5"/>
    </row>
    <row r="127" spans="4:4">
      <c r="D127" s="5"/>
    </row>
    <row r="128" spans="4:4">
      <c r="D128" s="5"/>
    </row>
    <row r="129" spans="4:4">
      <c r="D129" s="5"/>
    </row>
    <row r="130" spans="4:4">
      <c r="D130" s="5"/>
    </row>
    <row r="131" spans="4:4">
      <c r="D131" s="5"/>
    </row>
    <row r="132" spans="4:4">
      <c r="D132" s="5"/>
    </row>
    <row r="133" spans="4:4">
      <c r="D133" s="5"/>
    </row>
    <row r="134" spans="4:4">
      <c r="D134" s="5"/>
    </row>
    <row r="135" spans="4:4">
      <c r="D135" s="5"/>
    </row>
    <row r="136" spans="4:4">
      <c r="D136" s="5"/>
    </row>
    <row r="137" spans="4:4">
      <c r="D137" s="5"/>
    </row>
    <row r="138" spans="4:4">
      <c r="D138" s="5"/>
    </row>
    <row r="139" spans="4:4">
      <c r="D139" s="5"/>
    </row>
    <row r="140" spans="4:4">
      <c r="D140" s="5"/>
    </row>
    <row r="141" spans="4:4">
      <c r="D141" s="5"/>
    </row>
    <row r="142" spans="4:4">
      <c r="D142" s="5"/>
    </row>
    <row r="143" spans="4:4">
      <c r="D143" s="5"/>
    </row>
    <row r="144" spans="4:4">
      <c r="D144" s="5"/>
    </row>
    <row r="145" spans="4:4">
      <c r="D145" s="5"/>
    </row>
    <row r="146" spans="4:4">
      <c r="D146" s="5"/>
    </row>
    <row r="147" spans="4:4">
      <c r="D147" s="5"/>
    </row>
    <row r="148" spans="4:4">
      <c r="D148" s="5"/>
    </row>
    <row r="149" spans="4:4">
      <c r="D149" s="5"/>
    </row>
    <row r="150" spans="4:4">
      <c r="D150" s="5"/>
    </row>
    <row r="151" spans="4:4">
      <c r="D151" s="5"/>
    </row>
    <row r="152" spans="4:4">
      <c r="D152" s="5"/>
    </row>
    <row r="153" spans="4:4">
      <c r="D153" s="5"/>
    </row>
    <row r="154" spans="4:4">
      <c r="D154" s="5"/>
    </row>
    <row r="155" spans="4:4">
      <c r="D155" s="5"/>
    </row>
    <row r="156" spans="4:4">
      <c r="D156" s="5"/>
    </row>
    <row r="157" spans="4:4">
      <c r="D157" s="5"/>
    </row>
    <row r="158" spans="4:4">
      <c r="D158" s="5"/>
    </row>
    <row r="159" spans="4:4">
      <c r="D159" s="5"/>
    </row>
    <row r="160" spans="4:4">
      <c r="D160" s="5"/>
    </row>
    <row r="161" spans="4:4">
      <c r="D161" s="5"/>
    </row>
    <row r="162" spans="4:4">
      <c r="D162" s="5"/>
    </row>
    <row r="163" spans="4:4">
      <c r="D163" s="5"/>
    </row>
    <row r="164" spans="4:4">
      <c r="D164" s="5"/>
    </row>
    <row r="165" spans="4:4">
      <c r="D165" s="5"/>
    </row>
    <row r="166" spans="4:4">
      <c r="D166" s="5"/>
    </row>
    <row r="167" spans="4:4">
      <c r="D167" s="5"/>
    </row>
    <row r="168" spans="4:4">
      <c r="D168" s="5"/>
    </row>
    <row r="169" spans="4:4">
      <c r="D169" s="5"/>
    </row>
    <row r="170" spans="4:4">
      <c r="D170" s="5"/>
    </row>
    <row r="171" spans="4:4">
      <c r="D171" s="5"/>
    </row>
    <row r="172" spans="4:4">
      <c r="D172" s="5"/>
    </row>
    <row r="173" spans="4:4">
      <c r="D173" s="5"/>
    </row>
    <row r="174" spans="4:4">
      <c r="D174" s="5"/>
    </row>
    <row r="175" spans="4:4">
      <c r="D175" s="5"/>
    </row>
    <row r="176" spans="4:4">
      <c r="D176" s="5"/>
    </row>
    <row r="177" spans="4:4">
      <c r="D177" s="5"/>
    </row>
    <row r="178" spans="4:4">
      <c r="D178" s="5"/>
    </row>
    <row r="179" spans="4:4">
      <c r="D179" s="5"/>
    </row>
    <row r="180" spans="4:4">
      <c r="D180" s="5"/>
    </row>
    <row r="181" spans="4:4">
      <c r="D181" s="5"/>
    </row>
    <row r="182" spans="4:4">
      <c r="D182" s="5"/>
    </row>
    <row r="183" spans="4:4">
      <c r="D183" s="5"/>
    </row>
    <row r="184" spans="4:4">
      <c r="D184" s="5"/>
    </row>
    <row r="185" spans="4:4">
      <c r="D185" s="5"/>
    </row>
    <row r="186" spans="4:4">
      <c r="D186" s="5"/>
    </row>
    <row r="187" spans="4:4">
      <c r="D187" s="5"/>
    </row>
    <row r="188" spans="4:4">
      <c r="D188" s="5"/>
    </row>
    <row r="189" spans="4:4">
      <c r="D189" s="5"/>
    </row>
    <row r="190" spans="4:4">
      <c r="D190" s="5"/>
    </row>
    <row r="191" spans="4:4">
      <c r="D191" s="5"/>
    </row>
    <row r="192" spans="4:4">
      <c r="D192" s="5"/>
    </row>
    <row r="193" spans="4:4">
      <c r="D193" s="5"/>
    </row>
    <row r="194" spans="4:4">
      <c r="D194" s="5"/>
    </row>
    <row r="195" spans="4:4">
      <c r="D195" s="5"/>
    </row>
    <row r="196" spans="4:4">
      <c r="D196" s="5"/>
    </row>
    <row r="197" spans="4:4">
      <c r="D197" s="5"/>
    </row>
    <row r="198" spans="4:4">
      <c r="D198" s="5"/>
    </row>
    <row r="199" spans="4:4">
      <c r="D199" s="5"/>
    </row>
    <row r="200" spans="4:4">
      <c r="D200" s="5"/>
    </row>
    <row r="201" spans="4:4">
      <c r="D201" s="5"/>
    </row>
    <row r="202" spans="4:4">
      <c r="D202" s="5"/>
    </row>
    <row r="203" spans="4:4">
      <c r="D203" s="5"/>
    </row>
    <row r="204" spans="4:4">
      <c r="D204" s="5"/>
    </row>
    <row r="205" spans="4:4">
      <c r="D205" s="5"/>
    </row>
    <row r="206" spans="4:4">
      <c r="D206" s="5"/>
    </row>
    <row r="207" spans="4:4">
      <c r="D207" s="5"/>
    </row>
    <row r="208" spans="4:4">
      <c r="D208" s="5"/>
    </row>
    <row r="209" spans="4:4">
      <c r="D209" s="5"/>
    </row>
    <row r="210" spans="4:4">
      <c r="D210" s="5"/>
    </row>
    <row r="211" spans="4:4">
      <c r="D211" s="5"/>
    </row>
    <row r="212" spans="4:4">
      <c r="D212" s="5"/>
    </row>
    <row r="213" spans="4:4">
      <c r="D213" s="5"/>
    </row>
    <row r="214" spans="4:4">
      <c r="D214" s="5"/>
    </row>
    <row r="215" spans="4:4">
      <c r="D215" s="5"/>
    </row>
    <row r="216" spans="4:4">
      <c r="D216" s="5"/>
    </row>
    <row r="217" spans="4:4">
      <c r="D217" s="5"/>
    </row>
    <row r="218" spans="4:4">
      <c r="D218" s="5"/>
    </row>
    <row r="219" spans="4:4">
      <c r="D219" s="5"/>
    </row>
    <row r="220" spans="4:4">
      <c r="D220" s="5"/>
    </row>
    <row r="221" spans="4:4">
      <c r="D221" s="5"/>
    </row>
    <row r="222" spans="4:4">
      <c r="D222" s="5"/>
    </row>
    <row r="223" spans="4:4">
      <c r="D223" s="5"/>
    </row>
    <row r="224" spans="4:4">
      <c r="D224" s="5"/>
    </row>
    <row r="225" spans="4:4">
      <c r="D225" s="5"/>
    </row>
    <row r="226" spans="4:4">
      <c r="D226" s="5"/>
    </row>
    <row r="227" spans="4:4">
      <c r="D227" s="5"/>
    </row>
    <row r="228" spans="4:4">
      <c r="D228" s="5"/>
    </row>
    <row r="229" spans="4:4">
      <c r="D229" s="5"/>
    </row>
    <row r="230" spans="4:4">
      <c r="D230" s="5"/>
    </row>
    <row r="231" spans="4:4">
      <c r="D231" s="5"/>
    </row>
    <row r="232" spans="4:4">
      <c r="D232" s="5"/>
    </row>
    <row r="233" spans="4:4">
      <c r="D233" s="5"/>
    </row>
    <row r="234" spans="4:4">
      <c r="D234" s="5"/>
    </row>
    <row r="235" spans="4:4">
      <c r="D235" s="5"/>
    </row>
    <row r="236" spans="4:4">
      <c r="D236" s="5"/>
    </row>
    <row r="237" spans="4:4">
      <c r="D237" s="5"/>
    </row>
    <row r="238" spans="4:4">
      <c r="D238" s="5"/>
    </row>
    <row r="239" spans="4:4">
      <c r="D239" s="5"/>
    </row>
    <row r="240" spans="4:4">
      <c r="D240" s="5"/>
    </row>
    <row r="241" spans="4:4">
      <c r="D241" s="5"/>
    </row>
    <row r="242" spans="4:4">
      <c r="D242" s="5"/>
    </row>
    <row r="243" spans="4:4">
      <c r="D243" s="5"/>
    </row>
    <row r="244" spans="4:4">
      <c r="D244" s="5"/>
    </row>
    <row r="245" spans="4:4">
      <c r="D245" s="5"/>
    </row>
    <row r="246" spans="4:4">
      <c r="D246" s="5"/>
    </row>
    <row r="247" spans="4:4">
      <c r="D247" s="5"/>
    </row>
    <row r="248" spans="4:4">
      <c r="D248" s="5"/>
    </row>
    <row r="249" spans="4:4">
      <c r="D249" s="5"/>
    </row>
    <row r="250" spans="4:4">
      <c r="D250" s="5"/>
    </row>
    <row r="251" spans="4:4">
      <c r="D251" s="5"/>
    </row>
    <row r="252" spans="4:4">
      <c r="D252" s="5"/>
    </row>
    <row r="253" spans="4:4">
      <c r="D253" s="5"/>
    </row>
    <row r="254" spans="4:4">
      <c r="D254" s="5"/>
    </row>
    <row r="255" spans="4:4">
      <c r="D255" s="5"/>
    </row>
    <row r="256" spans="4:4">
      <c r="D256" s="5"/>
    </row>
    <row r="257" spans="4:4">
      <c r="D257" s="5"/>
    </row>
    <row r="258" spans="4:4">
      <c r="D258" s="5"/>
    </row>
    <row r="259" spans="4:4">
      <c r="D259" s="5"/>
    </row>
    <row r="260" spans="4:4">
      <c r="D260" s="5"/>
    </row>
    <row r="261" spans="4:4">
      <c r="D261" s="5"/>
    </row>
    <row r="262" spans="4:4">
      <c r="D262" s="5"/>
    </row>
    <row r="263" spans="4:4">
      <c r="D263" s="5"/>
    </row>
    <row r="264" spans="4:4">
      <c r="D264" s="5"/>
    </row>
    <row r="265" spans="4:4">
      <c r="D265" s="5"/>
    </row>
    <row r="266" spans="4:4">
      <c r="D266" s="5"/>
    </row>
    <row r="267" spans="4:4">
      <c r="D267" s="5"/>
    </row>
    <row r="268" spans="4:4">
      <c r="D268" s="5"/>
    </row>
    <row r="269" spans="4:4">
      <c r="D269" s="5"/>
    </row>
    <row r="270" spans="4:4">
      <c r="D270" s="5"/>
    </row>
    <row r="271" spans="4:4">
      <c r="D271" s="5"/>
    </row>
    <row r="272" spans="4:4">
      <c r="D272" s="5"/>
    </row>
    <row r="273" spans="4:4">
      <c r="D273" s="5"/>
    </row>
    <row r="274" spans="4:4">
      <c r="D274" s="5"/>
    </row>
    <row r="275" spans="4:4">
      <c r="D275" s="5"/>
    </row>
    <row r="276" spans="4:4">
      <c r="D276" s="5"/>
    </row>
    <row r="277" spans="4:4">
      <c r="D277" s="5"/>
    </row>
    <row r="278" spans="4:4">
      <c r="D278" s="5"/>
    </row>
    <row r="279" spans="4:4">
      <c r="D279" s="5"/>
    </row>
    <row r="280" spans="4:4">
      <c r="D280" s="5"/>
    </row>
    <row r="281" spans="4:4">
      <c r="D281" s="5"/>
    </row>
    <row r="282" spans="4:4">
      <c r="D282" s="5"/>
    </row>
    <row r="283" spans="4:4">
      <c r="D283" s="5"/>
    </row>
    <row r="284" spans="4:4">
      <c r="D284" s="5"/>
    </row>
    <row r="285" spans="4:4">
      <c r="D285" s="5"/>
    </row>
    <row r="286" spans="4:4">
      <c r="D286" s="5"/>
    </row>
    <row r="287" spans="4:4">
      <c r="D287" s="5"/>
    </row>
    <row r="288" spans="4:4">
      <c r="D288" s="5"/>
    </row>
    <row r="289" spans="4:4">
      <c r="D289" s="5"/>
    </row>
    <row r="290" spans="4:4">
      <c r="D290" s="5"/>
    </row>
    <row r="291" spans="4:4">
      <c r="D291" s="5"/>
    </row>
    <row r="292" spans="4:4">
      <c r="D292" s="5"/>
    </row>
    <row r="293" spans="4:4">
      <c r="D293" s="5"/>
    </row>
    <row r="294" spans="4:4">
      <c r="D294" s="5"/>
    </row>
    <row r="295" spans="4:4">
      <c r="D295" s="5"/>
    </row>
    <row r="296" spans="4:4">
      <c r="D296" s="5"/>
    </row>
    <row r="297" spans="4:4">
      <c r="D297" s="5"/>
    </row>
    <row r="298" spans="4:4">
      <c r="D298" s="5"/>
    </row>
    <row r="299" spans="4:4">
      <c r="D299" s="5"/>
    </row>
    <row r="300" spans="4:4">
      <c r="D300" s="5"/>
    </row>
    <row r="301" spans="4:4">
      <c r="D301" s="5"/>
    </row>
    <row r="302" spans="4:4">
      <c r="D302" s="5"/>
    </row>
    <row r="303" spans="4:4">
      <c r="D303" s="5"/>
    </row>
    <row r="304" spans="4:4">
      <c r="D304" s="5"/>
    </row>
    <row r="305" spans="4:4">
      <c r="D305" s="5"/>
    </row>
    <row r="306" spans="4:4">
      <c r="D306" s="5"/>
    </row>
    <row r="307" spans="4:4">
      <c r="D307" s="5"/>
    </row>
    <row r="308" spans="4:4">
      <c r="D308" s="5"/>
    </row>
    <row r="309" spans="4:4">
      <c r="D309" s="5"/>
    </row>
    <row r="310" spans="4:4">
      <c r="D310" s="5"/>
    </row>
    <row r="311" spans="4:4">
      <c r="D311" s="5"/>
    </row>
    <row r="312" spans="4:4">
      <c r="D312" s="5"/>
    </row>
    <row r="313" spans="4:4">
      <c r="D313" s="5"/>
    </row>
    <row r="314" spans="4:4">
      <c r="D314" s="5"/>
    </row>
    <row r="315" spans="4:4">
      <c r="D315" s="5"/>
    </row>
    <row r="316" spans="4:4">
      <c r="D316" s="5"/>
    </row>
    <row r="317" spans="4:4">
      <c r="D317" s="5"/>
    </row>
    <row r="318" spans="4:4">
      <c r="D318" s="5"/>
    </row>
    <row r="319" spans="4:4">
      <c r="D319" s="5"/>
    </row>
    <row r="320" spans="4:4">
      <c r="D320" s="5"/>
    </row>
    <row r="321" spans="4:4">
      <c r="D321" s="5"/>
    </row>
    <row r="322" spans="4:4">
      <c r="D322" s="5"/>
    </row>
    <row r="323" spans="4:4">
      <c r="D323" s="5"/>
    </row>
    <row r="324" spans="4:4">
      <c r="D324" s="5"/>
    </row>
    <row r="325" spans="4:4">
      <c r="D325" s="5"/>
    </row>
    <row r="326" spans="4:4">
      <c r="D326" s="5"/>
    </row>
    <row r="327" spans="4:4">
      <c r="D327" s="5"/>
    </row>
    <row r="328" spans="4:4">
      <c r="D328" s="5"/>
    </row>
    <row r="329" spans="4:4">
      <c r="D329" s="5"/>
    </row>
    <row r="330" spans="4:4">
      <c r="D330" s="5"/>
    </row>
    <row r="331" spans="4:4">
      <c r="D331" s="5"/>
    </row>
    <row r="332" spans="4:4">
      <c r="D332" s="5"/>
    </row>
    <row r="333" spans="4:4">
      <c r="D333" s="5"/>
    </row>
    <row r="334" spans="4:4">
      <c r="D334" s="5"/>
    </row>
    <row r="335" spans="4:4">
      <c r="D335" s="5"/>
    </row>
    <row r="336" spans="4:4">
      <c r="D336" s="5"/>
    </row>
    <row r="337" spans="4:4">
      <c r="D337" s="5"/>
    </row>
    <row r="338" spans="4:4">
      <c r="D338" s="5"/>
    </row>
    <row r="339" spans="4:4">
      <c r="D339" s="5"/>
    </row>
    <row r="340" spans="4:4">
      <c r="D340" s="5"/>
    </row>
    <row r="341" spans="4:4">
      <c r="D341" s="5"/>
    </row>
    <row r="342" spans="4:4">
      <c r="D342" s="5"/>
    </row>
    <row r="343" spans="4:4">
      <c r="D343" s="5"/>
    </row>
    <row r="344" spans="4:4">
      <c r="D344" s="5"/>
    </row>
    <row r="345" spans="4:4">
      <c r="D345" s="5"/>
    </row>
    <row r="346" spans="4:4">
      <c r="D346" s="5"/>
    </row>
    <row r="347" spans="4:4">
      <c r="D347" s="5"/>
    </row>
    <row r="348" spans="4:4">
      <c r="D348" s="5"/>
    </row>
    <row r="349" spans="4:4">
      <c r="D349" s="5"/>
    </row>
    <row r="350" spans="4:4">
      <c r="D350" s="5"/>
    </row>
    <row r="351" spans="4:4">
      <c r="D351" s="5"/>
    </row>
    <row r="352" spans="4:4">
      <c r="D352" s="5"/>
    </row>
    <row r="353" spans="4:4">
      <c r="D353" s="5"/>
    </row>
    <row r="354" spans="4:4">
      <c r="D354" s="5"/>
    </row>
    <row r="355" spans="4:4">
      <c r="D355" s="5"/>
    </row>
    <row r="356" spans="4:4">
      <c r="D356" s="5"/>
    </row>
    <row r="357" spans="4:4">
      <c r="D357" s="5"/>
    </row>
    <row r="358" spans="4:4">
      <c r="D358" s="5"/>
    </row>
    <row r="359" spans="4:4">
      <c r="D359" s="5"/>
    </row>
    <row r="360" spans="4:4">
      <c r="D360" s="5"/>
    </row>
    <row r="361" spans="4:4">
      <c r="D361" s="5"/>
    </row>
    <row r="362" spans="4:4">
      <c r="D362" s="5"/>
    </row>
    <row r="363" spans="4:4">
      <c r="D363" s="5"/>
    </row>
    <row r="364" spans="4:4">
      <c r="D364" s="5"/>
    </row>
    <row r="365" spans="4:4">
      <c r="D365" s="5"/>
    </row>
    <row r="366" spans="4:4">
      <c r="D366" s="5"/>
    </row>
    <row r="367" spans="4:4">
      <c r="D367" s="5"/>
    </row>
    <row r="368" spans="4:4">
      <c r="D368" s="5"/>
    </row>
    <row r="369" spans="4:4">
      <c r="D369" s="5"/>
    </row>
    <row r="370" spans="4:4">
      <c r="D370" s="5"/>
    </row>
    <row r="371" spans="4:4">
      <c r="D371" s="5"/>
    </row>
    <row r="372" spans="4:4">
      <c r="D372" s="5"/>
    </row>
    <row r="373" spans="4:4">
      <c r="D373" s="5"/>
    </row>
    <row r="374" spans="4:4">
      <c r="D374" s="5"/>
    </row>
    <row r="375" spans="4:4">
      <c r="D375" s="5"/>
    </row>
    <row r="376" spans="4:4">
      <c r="D376" s="5"/>
    </row>
    <row r="377" spans="4:4">
      <c r="D377" s="5"/>
    </row>
    <row r="378" spans="4:4">
      <c r="D378" s="5"/>
    </row>
    <row r="379" spans="4:4">
      <c r="D379" s="5"/>
    </row>
    <row r="380" spans="4:4">
      <c r="D380" s="5"/>
    </row>
    <row r="381" spans="4:4">
      <c r="D381" s="5"/>
    </row>
    <row r="382" spans="4:4">
      <c r="D382" s="5"/>
    </row>
    <row r="383" spans="4:4">
      <c r="D383" s="5"/>
    </row>
    <row r="384" spans="4:4">
      <c r="D384" s="5"/>
    </row>
    <row r="385" spans="4:4">
      <c r="D385" s="5"/>
    </row>
    <row r="386" spans="4:4">
      <c r="D386" s="5"/>
    </row>
    <row r="387" spans="4:4">
      <c r="D387" s="5"/>
    </row>
    <row r="388" spans="4:4">
      <c r="D388" s="5"/>
    </row>
    <row r="389" spans="4:4">
      <c r="D389" s="5"/>
    </row>
    <row r="390" spans="4:4">
      <c r="D390" s="5"/>
    </row>
    <row r="391" spans="4:4">
      <c r="D391" s="5"/>
    </row>
    <row r="392" spans="4:4">
      <c r="D392" s="5"/>
    </row>
    <row r="393" spans="4:4">
      <c r="D393" s="5"/>
    </row>
    <row r="394" spans="4:4">
      <c r="D394" s="5"/>
    </row>
    <row r="395" spans="4:4">
      <c r="D395" s="5"/>
    </row>
    <row r="396" spans="4:4">
      <c r="D396" s="5"/>
    </row>
    <row r="397" spans="4:4">
      <c r="D397" s="5"/>
    </row>
    <row r="398" spans="4:4">
      <c r="D398" s="5"/>
    </row>
  </sheetData>
  <mergeCells count="2">
    <mergeCell ref="A1:E1"/>
    <mergeCell ref="A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FF77B-2D3E-420C-BD22-45027CFCDCD7}">
  <dimension ref="A1:M101"/>
  <sheetViews>
    <sheetView zoomScale="67" workbookViewId="0">
      <selection activeCell="L22" sqref="L22"/>
    </sheetView>
  </sheetViews>
  <sheetFormatPr baseColWidth="10" defaultRowHeight="14.4"/>
  <cols>
    <col min="1" max="1" width="23.6640625" bestFit="1" customWidth="1"/>
    <col min="3" max="3" width="16.44140625" customWidth="1"/>
    <col min="5" max="5" width="14.88671875" bestFit="1" customWidth="1"/>
    <col min="7" max="8" width="14.88671875" bestFit="1" customWidth="1"/>
    <col min="9" max="9" width="30" style="2" customWidth="1"/>
    <col min="12" max="12" width="45.88671875" bestFit="1" customWidth="1"/>
  </cols>
  <sheetData>
    <row r="1" spans="1:13">
      <c r="I1"/>
    </row>
    <row r="2" spans="1:13">
      <c r="I2"/>
    </row>
    <row r="3" spans="1:13" ht="25.8">
      <c r="A3" s="21" t="str">
        <f>"Prix estimé : " &amp; ROUND(SUM(F6:F100),2) &amp; "€ ; Total réel : " &amp; ROUND(SUM(G6:G101),2) &amp; "€ ; Ecart moyen : " &amp; ROUND(AVERAGE(H6:H101),2) &amp; "€"</f>
        <v>Prix estimé : 41,58€ ; Total réel : 37,27€ ; Ecart moyen : 0,18€</v>
      </c>
      <c r="B3" s="21"/>
      <c r="C3" s="21"/>
      <c r="D3" s="21"/>
      <c r="E3" s="21"/>
      <c r="F3" s="21"/>
      <c r="G3" s="21"/>
      <c r="H3" s="21"/>
      <c r="I3" s="21"/>
    </row>
    <row r="4" spans="1:13">
      <c r="A4" s="19"/>
      <c r="B4" s="19"/>
      <c r="C4" s="19"/>
      <c r="D4" s="19"/>
      <c r="E4" s="19"/>
      <c r="F4" s="19"/>
      <c r="G4" s="19"/>
      <c r="H4" s="19"/>
      <c r="I4" s="19"/>
    </row>
    <row r="5" spans="1:13" ht="41.4">
      <c r="A5" s="3" t="s">
        <v>87</v>
      </c>
      <c r="B5" s="3" t="s">
        <v>189</v>
      </c>
      <c r="C5" s="3" t="s">
        <v>194</v>
      </c>
      <c r="D5" s="3" t="s">
        <v>190</v>
      </c>
      <c r="E5" s="3" t="s">
        <v>88</v>
      </c>
      <c r="F5" s="3" t="s">
        <v>191</v>
      </c>
      <c r="G5" s="3" t="s">
        <v>192</v>
      </c>
      <c r="H5" s="3" t="s">
        <v>193</v>
      </c>
      <c r="I5" s="12" t="s">
        <v>90</v>
      </c>
      <c r="L5" s="12" t="s">
        <v>199</v>
      </c>
      <c r="M5" s="12" t="s">
        <v>200</v>
      </c>
    </row>
    <row r="6" spans="1:13">
      <c r="A6" t="str" cm="1">
        <f t="array" ref="A6:A29">_xlfn._xlws.SORT(_xlfn.UNIQUE(_xlfn._xlws.FILTER(Detail_recettes!$C$5:$C$200,(Detail_recettes!$C$5:$C$200&lt;&gt;"")*(_xlfn.XLOOKUP(Detail_recettes!$B$5:$B$200,$L$6:$L$18,$M$6:$M$18,0)&gt;0))))</f>
        <v>Carotte</v>
      </c>
      <c r="B6" s="10" cm="1">
        <f t="array" ref="B6">IF(A6="","",SUMPRODUCT((Detail_recettes!$C$5:$C$200=A6)*Detail_recettes!$E$5:$E$200*_xlfn.XLOOKUP(Detail_recettes!$B$5:$B$200,$L$6:$L$18,$M$6:$M$18,0))/1000)</f>
        <v>1.6</v>
      </c>
      <c r="C6" s="14"/>
      <c r="D6" s="10">
        <f t="shared" ref="D6:D28" si="0">IF(B6="","",B6-C6)</f>
        <v>1.6</v>
      </c>
      <c r="E6" s="4" cm="1">
        <f t="array" ref="E6:E29">_xlfn.XLOOKUP(_xlfn.ANCHORARRAY(A6),Ingrédients!$B$5:$B$1000,Ingrédients!$C$5:$C$1000)</f>
        <v>1.5</v>
      </c>
      <c r="F6" s="11">
        <f t="shared" ref="F6:F28" si="1">IF(D6="","",D6*E6)</f>
        <v>2.4000000000000004</v>
      </c>
      <c r="G6" s="11">
        <f>IF(A6="","",_xlfn.XLOOKUP(A6,Ingrédients!$B$5:$B$1000,Ingrédients!$D$5:$D$1000)*D6)</f>
        <v>3.1840000000000002</v>
      </c>
      <c r="H6" s="15">
        <f t="shared" ref="H6:H31" si="2">IF(F6="","",F6-G6)</f>
        <v>-0.78399999999999981</v>
      </c>
      <c r="L6" t="str" cm="1">
        <f t="array" ref="L6:M15">_xlfn.LET(_xlpm.t,_xlfn.TOCOL('Repas prévus'!U5:W18),_xlpm.u,_xlfn.UNIQUE(_xlfn._xlws.FILTER(_xlpm.t,_xlpm.t&lt;&gt;"")),_xlfn.HSTACK(_xlpm.u,COUNTIF('Repas prévus'!U5:W18,_xlpm.u)))</f>
        <v>Poulet moutarde, pommes de terre &amp; carottes</v>
      </c>
      <c r="M6">
        <v>2</v>
      </c>
    </row>
    <row r="7" spans="1:13">
      <c r="A7" t="str">
        <v>Curry</v>
      </c>
      <c r="B7" s="10" cm="1">
        <f t="array" ref="B7">IF(A7="","",SUMPRODUCT((Detail_recettes!$C$5:$C$200=A7)*Detail_recettes!$E$5:$E$200*_xlfn.XLOOKUP(Detail_recettes!$B$5:$B$200,$L$6:$L$18,$M$6:$M$18,0))/1000)</f>
        <v>3.7999999999999999E-2</v>
      </c>
      <c r="C7" s="14"/>
      <c r="D7" s="10">
        <f t="shared" si="0"/>
        <v>3.7999999999999999E-2</v>
      </c>
      <c r="E7" s="4">
        <v>25</v>
      </c>
      <c r="F7" s="11">
        <f t="shared" si="1"/>
        <v>0.95</v>
      </c>
      <c r="G7" s="11">
        <f>IF(A7="","",_xlfn.XLOOKUP(A7,Ingrédients!$B$5:$B$1000,Ingrédients!$D$5:$D$1000)*D7)</f>
        <v>0</v>
      </c>
      <c r="H7" s="15">
        <f t="shared" si="2"/>
        <v>0.95</v>
      </c>
      <c r="L7" t="str">
        <v>Poulet curry, carottes &amp; riz</v>
      </c>
      <c r="M7">
        <v>4</v>
      </c>
    </row>
    <row r="8" spans="1:13">
      <c r="A8" t="str">
        <v>Épinards surgelés</v>
      </c>
      <c r="B8" s="10" cm="1">
        <f t="array" ref="B8">IF(A8="","",SUMPRODUCT((Detail_recettes!$C$5:$C$200=A8)*Detail_recettes!$E$5:$E$200*_xlfn.XLOOKUP(Detail_recettes!$B$5:$B$200,$L$6:$L$18,$M$6:$M$18,0))/1000)</f>
        <v>0.6</v>
      </c>
      <c r="C8" s="14"/>
      <c r="D8" s="10">
        <f t="shared" si="0"/>
        <v>0.6</v>
      </c>
      <c r="E8" s="4">
        <v>2.5</v>
      </c>
      <c r="F8" s="11">
        <f t="shared" si="1"/>
        <v>1.5</v>
      </c>
      <c r="G8" s="11">
        <f>IF(A8="","",_xlfn.XLOOKUP(A8,Ingrédients!$B$5:$B$1000,Ingrédients!$D$5:$D$1000)*D8)</f>
        <v>0</v>
      </c>
      <c r="H8" s="15">
        <f t="shared" si="2"/>
        <v>1.5</v>
      </c>
      <c r="L8" t="str">
        <v>Pâtes au thon, tomate &amp; épinards</v>
      </c>
      <c r="M8">
        <v>2</v>
      </c>
    </row>
    <row r="9" spans="1:13">
      <c r="A9" t="str">
        <v>Flocons d’avoine</v>
      </c>
      <c r="B9" s="10" cm="1">
        <f t="array" ref="B9">IF(A9="","",SUMPRODUCT((Detail_recettes!$C$5:$C$200=A9)*Detail_recettes!$E$5:$E$200*_xlfn.XLOOKUP(Detail_recettes!$B$5:$B$200,$L$6:$L$18,$M$6:$M$18,0))/1000)</f>
        <v>0.35</v>
      </c>
      <c r="C9" s="14"/>
      <c r="D9" s="10">
        <f t="shared" si="0"/>
        <v>0.35</v>
      </c>
      <c r="E9" s="4">
        <v>1.9</v>
      </c>
      <c r="F9" s="11">
        <f t="shared" si="1"/>
        <v>0.66499999999999992</v>
      </c>
      <c r="G9" s="11">
        <f>IF(A9="","",_xlfn.XLOOKUP(A9,Ingrédients!$B$5:$B$1000,Ingrédients!$D$5:$D$1000)*D9)</f>
        <v>2.2119999999999997</v>
      </c>
      <c r="H9" s="15">
        <f t="shared" si="2"/>
        <v>-1.5469999999999997</v>
      </c>
      <c r="L9" t="str">
        <v>Dhal lentilles corail, carottes &amp; riz</v>
      </c>
      <c r="M9">
        <v>2</v>
      </c>
    </row>
    <row r="10" spans="1:13">
      <c r="A10" t="str">
        <v>Fromage blanc nature</v>
      </c>
      <c r="B10" s="10" cm="1">
        <f t="array" ref="B10">IF(A10="","",SUMPRODUCT((Detail_recettes!$C$5:$C$200=A10)*Detail_recettes!$E$5:$E$200*_xlfn.XLOOKUP(Detail_recettes!$B$5:$B$200,$L$6:$L$18,$M$6:$M$18,0))/1000)</f>
        <v>1.45</v>
      </c>
      <c r="C10" s="14"/>
      <c r="D10" s="10">
        <f t="shared" si="0"/>
        <v>1.45</v>
      </c>
      <c r="E10" s="4">
        <v>2.2999999999999998</v>
      </c>
      <c r="F10" s="11">
        <f t="shared" si="1"/>
        <v>3.3349999999999995</v>
      </c>
      <c r="G10" s="11">
        <f>IF(A10="","",_xlfn.XLOOKUP(A10,Ingrédients!$B$5:$B$1000,Ingrédients!$D$5:$D$1000)*D10)</f>
        <v>2.6535000000000002</v>
      </c>
      <c r="H10" s="15">
        <f t="shared" si="2"/>
        <v>0.68149999999999933</v>
      </c>
      <c r="L10" t="str">
        <v>Semoule, pois chiches &amp; légumes</v>
      </c>
      <c r="M10">
        <v>2</v>
      </c>
    </row>
    <row r="11" spans="1:13">
      <c r="A11" t="str">
        <v>Herbes séchées</v>
      </c>
      <c r="B11" s="10" cm="1">
        <f t="array" ref="B11">IF(A11="","",SUMPRODUCT((Detail_recettes!$C$5:$C$200=A11)*Detail_recettes!$E$5:$E$200*_xlfn.XLOOKUP(Detail_recettes!$B$5:$B$200,$L$6:$L$18,$M$6:$M$18,0))/1000)</f>
        <v>5.0000000000000001E-3</v>
      </c>
      <c r="C11" s="14"/>
      <c r="D11" s="10">
        <f t="shared" si="0"/>
        <v>5.0000000000000001E-3</v>
      </c>
      <c r="E11" s="4">
        <v>30</v>
      </c>
      <c r="F11" s="11">
        <f t="shared" si="1"/>
        <v>0.15</v>
      </c>
      <c r="G11" s="11">
        <f>IF(A11="","",_xlfn.XLOOKUP(A11,Ingrédients!$B$5:$B$1000,Ingrédients!$D$5:$D$1000)*D11)</f>
        <v>0</v>
      </c>
      <c r="H11" s="15">
        <f t="shared" si="2"/>
        <v>0.15</v>
      </c>
      <c r="L11" t="str">
        <v>Bolognaise de lentilles &amp; pâtes</v>
      </c>
      <c r="M11">
        <v>2</v>
      </c>
    </row>
    <row r="12" spans="1:13">
      <c r="A12" t="str">
        <v>Huile</v>
      </c>
      <c r="B12" s="10" cm="1">
        <f t="array" ref="B12">IF(A12="","",SUMPRODUCT((Detail_recettes!$C$5:$C$200=A12)*Detail_recettes!$E$5:$E$200*_xlfn.XLOOKUP(Detail_recettes!$B$5:$B$200,$L$6:$L$18,$M$6:$M$18,0))/1000)</f>
        <v>4.3999999999999997E-2</v>
      </c>
      <c r="C12" s="14"/>
      <c r="D12" s="10">
        <f t="shared" si="0"/>
        <v>4.3999999999999997E-2</v>
      </c>
      <c r="E12" s="4">
        <v>3.5</v>
      </c>
      <c r="F12" s="11">
        <f t="shared" si="1"/>
        <v>0.154</v>
      </c>
      <c r="G12" s="11">
        <f>IF(A12="","",_xlfn.XLOOKUP(A12,Ingrédients!$B$5:$B$1000,Ingrédients!$D$5:$D$1000)*D12)</f>
        <v>0</v>
      </c>
      <c r="H12" s="15">
        <f t="shared" si="2"/>
        <v>0.154</v>
      </c>
      <c r="L12" t="str">
        <v>Œuf, Avoine, Fromage blanc, Pomme</v>
      </c>
      <c r="M12">
        <v>5</v>
      </c>
    </row>
    <row r="13" spans="1:13">
      <c r="A13" t="str">
        <v>Légumes mélangés surgelés</v>
      </c>
      <c r="B13" s="10" cm="1">
        <f t="array" ref="B13">IF(A13="","",SUMPRODUCT((Detail_recettes!$C$5:$C$200=A13)*Detail_recettes!$E$5:$E$200*_xlfn.XLOOKUP(Detail_recettes!$B$5:$B$200,$L$6:$L$18,$M$6:$M$18,0))/1000)</f>
        <v>0.4</v>
      </c>
      <c r="C13" s="14"/>
      <c r="D13" s="10">
        <f t="shared" si="0"/>
        <v>0.4</v>
      </c>
      <c r="E13" s="4">
        <v>2.2999999999999998</v>
      </c>
      <c r="F13" s="11">
        <f t="shared" si="1"/>
        <v>0.91999999999999993</v>
      </c>
      <c r="G13" s="11">
        <f>IF(A13="","",_xlfn.XLOOKUP(A13,Ingrédients!$B$5:$B$1000,Ingrédients!$D$5:$D$1000)*D13)</f>
        <v>0</v>
      </c>
      <c r="H13" s="15">
        <f t="shared" si="2"/>
        <v>0.91999999999999993</v>
      </c>
      <c r="L13" t="str">
        <v>Riz au poulet, tomate &amp; petits pois</v>
      </c>
      <c r="M13">
        <v>2</v>
      </c>
    </row>
    <row r="14" spans="1:13">
      <c r="A14" t="str">
        <v>Lentilles corail</v>
      </c>
      <c r="B14" s="10" cm="1">
        <f t="array" ref="B14">IF(A14="","",SUMPRODUCT((Detail_recettes!$C$5:$C$200=A14)*Detail_recettes!$E$5:$E$200*_xlfn.XLOOKUP(Detail_recettes!$B$5:$B$200,$L$6:$L$18,$M$6:$M$18,0))/1000)</f>
        <v>0.5</v>
      </c>
      <c r="C14" s="14"/>
      <c r="D14" s="10">
        <f t="shared" si="0"/>
        <v>0.5</v>
      </c>
      <c r="E14" s="4">
        <v>3.6</v>
      </c>
      <c r="F14" s="11">
        <f t="shared" si="1"/>
        <v>1.8</v>
      </c>
      <c r="G14" s="11">
        <f>IF(A14="","",_xlfn.XLOOKUP(A14,Ingrédients!$B$5:$B$1000,Ingrédients!$D$5:$D$1000)*D14)</f>
        <v>2.36</v>
      </c>
      <c r="H14" s="15">
        <f t="shared" si="2"/>
        <v>-0.55999999999999983</v>
      </c>
      <c r="L14" t="str">
        <v>Pâtes pois chiches, tomate &amp; épinards</v>
      </c>
      <c r="M14">
        <v>2</v>
      </c>
    </row>
    <row r="15" spans="1:13">
      <c r="A15" t="str">
        <v>Lentilles vertes</v>
      </c>
      <c r="B15" s="10" cm="1">
        <f t="array" ref="B15">IF(A15="","",SUMPRODUCT((Detail_recettes!$C$5:$C$200=A15)*Detail_recettes!$E$5:$E$200*_xlfn.XLOOKUP(Detail_recettes!$B$5:$B$200,$L$6:$L$18,$M$6:$M$18,0))/1000)</f>
        <v>0.26</v>
      </c>
      <c r="C15" s="14"/>
      <c r="D15" s="10">
        <f t="shared" si="0"/>
        <v>0.26</v>
      </c>
      <c r="E15" s="4">
        <v>3</v>
      </c>
      <c r="F15" s="11">
        <f t="shared" si="1"/>
        <v>0.78</v>
      </c>
      <c r="G15" s="11">
        <f>IF(A15="","",_xlfn.XLOOKUP(A15,Ingrédients!$B$5:$B$1000,Ingrédients!$D$5:$D$1000)*D15)</f>
        <v>0</v>
      </c>
      <c r="H15" s="15">
        <f t="shared" si="2"/>
        <v>0.78</v>
      </c>
      <c r="L15" t="str">
        <v>Riz lentilles corail, petits pois &amp; carottes</v>
      </c>
      <c r="M15">
        <v>2</v>
      </c>
    </row>
    <row r="16" spans="1:13">
      <c r="A16" t="str">
        <v>Moutarde</v>
      </c>
      <c r="B16" s="10" cm="1">
        <f t="array" ref="B16">IF(A16="","",SUMPRODUCT((Detail_recettes!$C$5:$C$200=A16)*Detail_recettes!$E$5:$E$200*_xlfn.XLOOKUP(Detail_recettes!$B$5:$B$200,$L$6:$L$18,$M$6:$M$18,0))/1000)</f>
        <v>0.02</v>
      </c>
      <c r="C16" s="14"/>
      <c r="D16" s="10">
        <f t="shared" si="0"/>
        <v>0.02</v>
      </c>
      <c r="E16" s="4">
        <v>3.43</v>
      </c>
      <c r="F16" s="11">
        <f t="shared" si="1"/>
        <v>6.8600000000000008E-2</v>
      </c>
      <c r="G16" s="11">
        <f>IF(A16="","",_xlfn.XLOOKUP(A16,Ingrédients!$B$5:$B$1000,Ingrédients!$D$5:$D$1000)*D16)</f>
        <v>0</v>
      </c>
      <c r="H16" s="15">
        <f t="shared" si="2"/>
        <v>6.8600000000000008E-2</v>
      </c>
    </row>
    <row r="17" spans="1:8">
      <c r="A17" t="str">
        <v>Œuf</v>
      </c>
      <c r="B17" s="10" cm="1">
        <f t="array" ref="B17">IF(A17="","",SUMPRODUCT((Detail_recettes!$C$5:$C$200=A17)*Detail_recettes!$E$5:$E$200*_xlfn.XLOOKUP(Detail_recettes!$B$5:$B$200,$L$6:$L$18,$M$6:$M$18,0))/1000)</f>
        <v>0.3</v>
      </c>
      <c r="C17" s="14"/>
      <c r="D17" s="10">
        <f t="shared" si="0"/>
        <v>0.3</v>
      </c>
      <c r="E17" s="4">
        <v>5</v>
      </c>
      <c r="F17" s="11">
        <f t="shared" si="1"/>
        <v>1.5</v>
      </c>
      <c r="G17" s="11">
        <f>IF(A17="","",_xlfn.XLOOKUP(A17,Ingrédients!$B$5:$B$1000,Ingrédients!$D$5:$D$1000)*D17)</f>
        <v>4.6800000000000001E-3</v>
      </c>
      <c r="H17" s="15">
        <f t="shared" si="2"/>
        <v>1.49532</v>
      </c>
    </row>
    <row r="18" spans="1:8">
      <c r="A18" t="str">
        <v>Oignon</v>
      </c>
      <c r="B18" s="10" cm="1">
        <f t="array" ref="B18">IF(A18="","",SUMPRODUCT((Detail_recettes!$C$5:$C$200=A18)*Detail_recettes!$E$5:$E$200*_xlfn.XLOOKUP(Detail_recettes!$B$5:$B$200,$L$6:$L$18,$M$6:$M$18,0))/1000)</f>
        <v>1.35</v>
      </c>
      <c r="C18" s="14"/>
      <c r="D18" s="10">
        <f t="shared" si="0"/>
        <v>1.35</v>
      </c>
      <c r="E18" s="4">
        <v>1.8</v>
      </c>
      <c r="F18" s="11">
        <f t="shared" si="1"/>
        <v>2.4300000000000002</v>
      </c>
      <c r="G18" s="11">
        <f>IF(A18="","",_xlfn.XLOOKUP(A18,Ingrédients!$B$5:$B$1000,Ingrédients!$D$5:$D$1000)*D18)</f>
        <v>2.0655000000000001</v>
      </c>
      <c r="H18" s="15">
        <f t="shared" si="2"/>
        <v>0.36450000000000005</v>
      </c>
    </row>
    <row r="19" spans="1:8">
      <c r="A19" t="str">
        <v>Paprika</v>
      </c>
      <c r="B19" s="10" cm="1">
        <f t="array" ref="B19">IF(A19="","",SUMPRODUCT((Detail_recettes!$C$5:$C$200=A19)*Detail_recettes!$E$5:$E$200*_xlfn.XLOOKUP(Detail_recettes!$B$5:$B$200,$L$6:$L$18,$M$6:$M$18,0))/1000)</f>
        <v>1.2E-2</v>
      </c>
      <c r="C19" s="14"/>
      <c r="D19" s="10">
        <f t="shared" si="0"/>
        <v>1.2E-2</v>
      </c>
      <c r="E19" s="4">
        <v>25</v>
      </c>
      <c r="F19" s="11">
        <f t="shared" si="1"/>
        <v>0.3</v>
      </c>
      <c r="G19" s="11">
        <f>IF(A19="","",_xlfn.XLOOKUP(A19,Ingrédients!$B$5:$B$1000,Ingrédients!$D$5:$D$1000)*D19)</f>
        <v>0</v>
      </c>
      <c r="H19" s="15">
        <f t="shared" si="2"/>
        <v>0.3</v>
      </c>
    </row>
    <row r="20" spans="1:8">
      <c r="A20" t="str">
        <v>Pâtes</v>
      </c>
      <c r="B20" s="10" cm="1">
        <f t="array" ref="B20">IF(A20="","",SUMPRODUCT((Detail_recettes!$C$5:$C$200=A20)*Detail_recettes!$E$5:$E$200*_xlfn.XLOOKUP(Detail_recettes!$B$5:$B$200,$L$6:$L$18,$M$6:$M$18,0))/1000)</f>
        <v>0.54</v>
      </c>
      <c r="C20" s="14"/>
      <c r="D20" s="10">
        <f t="shared" si="0"/>
        <v>0.54</v>
      </c>
      <c r="E20" s="4">
        <v>1.7</v>
      </c>
      <c r="F20" s="11">
        <f t="shared" si="1"/>
        <v>0.91800000000000004</v>
      </c>
      <c r="G20" s="11">
        <f>IF(A20="","",_xlfn.XLOOKUP(A20,Ingrédients!$B$5:$B$1000,Ingrédients!$D$5:$D$1000)*D20)</f>
        <v>0.7128000000000001</v>
      </c>
      <c r="H20" s="15">
        <f t="shared" si="2"/>
        <v>0.20519999999999994</v>
      </c>
    </row>
    <row r="21" spans="1:8">
      <c r="A21" t="str">
        <v>Petits pois surgelés</v>
      </c>
      <c r="B21" s="10" cm="1">
        <f t="array" ref="B21">IF(A21="","",SUMPRODUCT((Detail_recettes!$C$5:$C$200=A21)*Detail_recettes!$E$5:$E$200*_xlfn.XLOOKUP(Detail_recettes!$B$5:$B$200,$L$6:$L$18,$M$6:$M$18,0))/1000)</f>
        <v>0.6</v>
      </c>
      <c r="C21" s="14"/>
      <c r="D21" s="10">
        <f t="shared" si="0"/>
        <v>0.6</v>
      </c>
      <c r="E21" s="4">
        <v>2.2000000000000002</v>
      </c>
      <c r="F21" s="11">
        <f t="shared" si="1"/>
        <v>1.32</v>
      </c>
      <c r="G21" s="11">
        <f>IF(A21="","",_xlfn.XLOOKUP(A21,Ingrédients!$B$5:$B$1000,Ingrédients!$D$5:$D$1000)*D21)</f>
        <v>0</v>
      </c>
      <c r="H21" s="15">
        <f t="shared" si="2"/>
        <v>1.32</v>
      </c>
    </row>
    <row r="22" spans="1:8">
      <c r="A22" t="str">
        <v>Pois chiches égouttés</v>
      </c>
      <c r="B22" s="10" cm="1">
        <f t="array" ref="B22">IF(A22="","",SUMPRODUCT((Detail_recettes!$C$5:$C$200=A22)*Detail_recettes!$E$5:$E$200*_xlfn.XLOOKUP(Detail_recettes!$B$5:$B$200,$L$6:$L$18,$M$6:$M$18,0))/1000)</f>
        <v>0.96</v>
      </c>
      <c r="C22" s="14"/>
      <c r="D22" s="10">
        <f t="shared" si="0"/>
        <v>0.96</v>
      </c>
      <c r="E22" s="4">
        <v>3.75</v>
      </c>
      <c r="F22" s="11">
        <f t="shared" si="1"/>
        <v>3.5999999999999996</v>
      </c>
      <c r="G22" s="11">
        <f>IF(A22="","",_xlfn.XLOOKUP(A22,Ingrédients!$B$5:$B$1000,Ingrédients!$D$5:$D$1000)*D22)</f>
        <v>0</v>
      </c>
      <c r="H22" s="15">
        <f t="shared" si="2"/>
        <v>3.5999999999999996</v>
      </c>
    </row>
    <row r="23" spans="1:8">
      <c r="A23" t="str">
        <v>Pomme</v>
      </c>
      <c r="B23" s="10" cm="1">
        <f t="array" ref="B23">IF(A23="","",SUMPRODUCT((Detail_recettes!$C$5:$C$200=A23)*Detail_recettes!$E$5:$E$200*_xlfn.XLOOKUP(Detail_recettes!$B$5:$B$200,$L$6:$L$18,$M$6:$M$18,0))/1000)</f>
        <v>0.75</v>
      </c>
      <c r="C23" s="14"/>
      <c r="D23" s="10">
        <f t="shared" si="0"/>
        <v>0.75</v>
      </c>
      <c r="E23" s="4">
        <v>2.13</v>
      </c>
      <c r="F23" s="11">
        <f t="shared" si="1"/>
        <v>1.5974999999999999</v>
      </c>
      <c r="G23" s="11">
        <f>IF(A23="","",_xlfn.XLOOKUP(A23,Ingrédients!$B$5:$B$1000,Ingrédients!$D$5:$D$1000)*D23)</f>
        <v>2.9925000000000002</v>
      </c>
      <c r="H23" s="15">
        <f t="shared" si="2"/>
        <v>-1.3950000000000002</v>
      </c>
    </row>
    <row r="24" spans="1:8">
      <c r="A24" t="str">
        <v>Pommes de terre</v>
      </c>
      <c r="B24" s="10" cm="1">
        <f t="array" ref="B24">IF(A24="","",SUMPRODUCT((Detail_recettes!$C$5:$C$200=A24)*Detail_recettes!$E$5:$E$200*_xlfn.XLOOKUP(Detail_recettes!$B$5:$B$200,$L$6:$L$18,$M$6:$M$18,0))/1000)</f>
        <v>0.65</v>
      </c>
      <c r="C24" s="14"/>
      <c r="D24" s="10">
        <f t="shared" si="0"/>
        <v>0.65</v>
      </c>
      <c r="E24" s="4">
        <v>1.6</v>
      </c>
      <c r="F24" s="11">
        <f t="shared" si="1"/>
        <v>1.04</v>
      </c>
      <c r="G24" s="11">
        <f>IF(A24="","",_xlfn.XLOOKUP(A24,Ingrédients!$B$5:$B$1000,Ingrédients!$D$5:$D$1000)*D24)</f>
        <v>0</v>
      </c>
      <c r="H24" s="15">
        <f t="shared" si="2"/>
        <v>1.04</v>
      </c>
    </row>
    <row r="25" spans="1:8">
      <c r="A25" t="str">
        <v>Poulet</v>
      </c>
      <c r="B25" s="10" cm="1">
        <f t="array" ref="B25">IF(A25="","",SUMPRODUCT((Detail_recettes!$C$5:$C$200=A25)*Detail_recettes!$E$5:$E$200*_xlfn.XLOOKUP(Detail_recettes!$B$5:$B$200,$L$6:$L$18,$M$6:$M$18,0))/1000)</f>
        <v>0.94</v>
      </c>
      <c r="C25" s="14"/>
      <c r="D25" s="10">
        <f t="shared" si="0"/>
        <v>0.94</v>
      </c>
      <c r="E25" s="4">
        <v>7.9</v>
      </c>
      <c r="F25" s="11">
        <f t="shared" si="1"/>
        <v>7.4260000000000002</v>
      </c>
      <c r="G25" s="11">
        <f>IF(A25="","",_xlfn.XLOOKUP(A25,Ingrédients!$B$5:$B$1000,Ingrédients!$D$5:$D$1000)*D25)</f>
        <v>11.045</v>
      </c>
      <c r="H25" s="15">
        <f t="shared" si="2"/>
        <v>-3.6189999999999998</v>
      </c>
    </row>
    <row r="26" spans="1:8">
      <c r="A26" t="str">
        <v>Riz</v>
      </c>
      <c r="B26" s="10" cm="1">
        <f t="array" ref="B26">IF(A26="","",SUMPRODUCT((Detail_recettes!$C$5:$C$200=A26)*Detail_recettes!$E$5:$E$200*_xlfn.XLOOKUP(Detail_recettes!$B$5:$B$200,$L$6:$L$18,$M$6:$M$18,0))/1000)</f>
        <v>0.72</v>
      </c>
      <c r="C26" s="14"/>
      <c r="D26" s="10">
        <f t="shared" si="0"/>
        <v>0.72</v>
      </c>
      <c r="E26" s="4">
        <v>2.2000000000000002</v>
      </c>
      <c r="F26" s="11">
        <f t="shared" si="1"/>
        <v>1.5840000000000001</v>
      </c>
      <c r="G26" s="11">
        <f>IF(A26="","",_xlfn.XLOOKUP(A26,Ingrédients!$B$5:$B$1000,Ingrédients!$D$5:$D$1000)*D26)</f>
        <v>3.0383999999999998</v>
      </c>
      <c r="H26" s="15">
        <f t="shared" si="2"/>
        <v>-1.4543999999999997</v>
      </c>
    </row>
    <row r="27" spans="1:8">
      <c r="A27" t="str">
        <v>Semoule</v>
      </c>
      <c r="B27" s="10" cm="1">
        <f t="array" ref="B27">IF(A27="","",SUMPRODUCT((Detail_recettes!$C$5:$C$200=A27)*Detail_recettes!$E$5:$E$200*_xlfn.XLOOKUP(Detail_recettes!$B$5:$B$200,$L$6:$L$18,$M$6:$M$18,0))/1000)</f>
        <v>0.18</v>
      </c>
      <c r="C27" s="14"/>
      <c r="D27" s="10">
        <f t="shared" si="0"/>
        <v>0.18</v>
      </c>
      <c r="E27" s="4">
        <v>2.4</v>
      </c>
      <c r="F27" s="11">
        <f t="shared" si="1"/>
        <v>0.432</v>
      </c>
      <c r="G27" s="11">
        <f>IF(A27="","",_xlfn.XLOOKUP(A27,Ingrédients!$B$5:$B$1000,Ingrédients!$D$5:$D$1000)*D27)</f>
        <v>0</v>
      </c>
      <c r="H27" s="15">
        <f t="shared" si="2"/>
        <v>0.432</v>
      </c>
    </row>
    <row r="28" spans="1:8">
      <c r="A28" t="str">
        <v>Thon au naturel égoutté</v>
      </c>
      <c r="B28" s="10" cm="1">
        <f t="array" ref="B28">IF(A28="","",SUMPRODUCT((Detail_recettes!$C$5:$C$200=A28)*Detail_recettes!$E$5:$E$200*_xlfn.XLOOKUP(Detail_recettes!$B$5:$B$200,$L$6:$L$18,$M$6:$M$18,0))/1000)</f>
        <v>0.14000000000000001</v>
      </c>
      <c r="C28" s="14"/>
      <c r="D28" s="10">
        <f t="shared" si="0"/>
        <v>0.14000000000000001</v>
      </c>
      <c r="E28" s="4">
        <v>11.43</v>
      </c>
      <c r="F28" s="11">
        <f t="shared" si="1"/>
        <v>1.6002000000000001</v>
      </c>
      <c r="G28" s="11">
        <f>IF(A28="","",_xlfn.XLOOKUP(A28,Ingrédients!$B$5:$B$1000,Ingrédients!$D$5:$D$1000)*D28)</f>
        <v>2.2302</v>
      </c>
      <c r="H28" s="15">
        <f t="shared" si="2"/>
        <v>-0.62999999999999989</v>
      </c>
    </row>
    <row r="29" spans="1:8">
      <c r="A29" t="str">
        <v>Tomates concassées</v>
      </c>
      <c r="B29" s="10" cm="1">
        <f t="array" ref="B29">IF(A29="","",SUMPRODUCT((Detail_recettes!$C$5:$C$200=A29)*Detail_recettes!$E$5:$E$200*_xlfn.XLOOKUP(Detail_recettes!$B$5:$B$200,$L$6:$L$18,$M$6:$M$18,0))/1000)</f>
        <v>2.4</v>
      </c>
      <c r="C29" s="14"/>
      <c r="D29" s="10">
        <f>IF(B29="","",B29-C29)</f>
        <v>2.4</v>
      </c>
      <c r="E29">
        <v>2.13</v>
      </c>
      <c r="F29" s="11">
        <f>IF(D29="","",D29*E29)</f>
        <v>5.1119999999999992</v>
      </c>
      <c r="G29" s="11">
        <f>IF(A29="","",_xlfn.XLOOKUP(A29,Ingrédients!$B$5:$B$1000,Ingrédients!$D$5:$D$1000)*D29)</f>
        <v>4.7759999999999998</v>
      </c>
      <c r="H29" s="15">
        <f t="shared" si="2"/>
        <v>0.33599999999999941</v>
      </c>
    </row>
    <row r="30" spans="1:8">
      <c r="B30" s="10" t="str" cm="1">
        <f t="array" ref="B30">IF(A30="","",SUMPRODUCT((Detail_recettes!$C$5:$C$200=A30)*Detail_recettes!$E$5:$E$200*_xlfn.XLOOKUP(Detail_recettes!$B$5:$B$200,$L$6:$L$18,$M$6:$M$18,0))/1000)</f>
        <v/>
      </c>
      <c r="C30" s="14"/>
      <c r="D30" s="10" t="str">
        <f t="shared" ref="D30:D93" si="3">IF(B30="","",B30-C30)</f>
        <v/>
      </c>
      <c r="F30" s="11" t="str">
        <f t="shared" ref="F30:F93" si="4">IF(D30="","",D30*E30)</f>
        <v/>
      </c>
      <c r="G30" s="11" t="str">
        <f>IF(A30="","",_xlfn.XLOOKUP(A30,Ingrédients!$B$5:$B$1000,Ingrédients!$D$5:$D$1000)*D30)</f>
        <v/>
      </c>
      <c r="H30" s="15" t="str">
        <f t="shared" si="2"/>
        <v/>
      </c>
    </row>
    <row r="31" spans="1:8">
      <c r="B31" s="10" t="str" cm="1">
        <f t="array" ref="B31">IF(A31="","",SUMPRODUCT((Detail_recettes!$C$5:$C$200=A31)*Detail_recettes!$E$5:$E$200*_xlfn.XLOOKUP(Detail_recettes!$B$5:$B$200,$L$6:$L$18,$M$6:$M$18,0))/1000)</f>
        <v/>
      </c>
      <c r="C31" s="14"/>
      <c r="D31" s="10" t="str">
        <f t="shared" si="3"/>
        <v/>
      </c>
      <c r="F31" s="11" t="str">
        <f t="shared" si="4"/>
        <v/>
      </c>
      <c r="G31" s="11" t="str">
        <f>IF(A31="","",_xlfn.XLOOKUP(A31,Ingrédients!$B$5:$B$1000,Ingrédients!$D$5:$D$1000)*D31)</f>
        <v/>
      </c>
      <c r="H31" s="15" t="str">
        <f t="shared" si="2"/>
        <v/>
      </c>
    </row>
    <row r="32" spans="1:8">
      <c r="B32" s="10" t="str" cm="1">
        <f t="array" ref="B32">IF(A32="","",SUMPRODUCT((Detail_recettes!$C$5:$C$200=A32)*Detail_recettes!$E$5:$E$200*_xlfn.XLOOKUP(Detail_recettes!$B$5:$B$200,$L$6:$L$18,$M$6:$M$18,0))/1000)</f>
        <v/>
      </c>
      <c r="C32" s="14"/>
      <c r="D32" s="10" t="str">
        <f t="shared" si="3"/>
        <v/>
      </c>
      <c r="F32" s="11" t="str">
        <f t="shared" si="4"/>
        <v/>
      </c>
      <c r="G32" s="11" t="str">
        <f>IF(A32="","",_xlfn.XLOOKUP(A32,Ingrédients!$B$5:$B$1000,Ingrédients!$D$5:$D$1000)*D32)</f>
        <v/>
      </c>
      <c r="H32" s="15" t="str">
        <f>IF(F32="","",F32-G32)</f>
        <v/>
      </c>
    </row>
    <row r="33" spans="2:8">
      <c r="B33" s="10" t="str" cm="1">
        <f t="array" ref="B33">IF(A33="","",SUMPRODUCT((Detail_recettes!$C$5:$C$200=A33)*Detail_recettes!$E$5:$E$200*_xlfn.XLOOKUP(Detail_recettes!$B$5:$B$200,$L$6:$L$18,$M$6:$M$18,0))/1000)</f>
        <v/>
      </c>
      <c r="C33" s="14"/>
      <c r="D33" s="10" t="str">
        <f t="shared" si="3"/>
        <v/>
      </c>
      <c r="F33" s="11" t="str">
        <f t="shared" si="4"/>
        <v/>
      </c>
      <c r="G33" s="11" t="str">
        <f>IF(A33="","",_xlfn.XLOOKUP(A33,Ingrédients!$B$5:$B$1000,Ingrédients!$D$5:$D$1000)*D33)</f>
        <v/>
      </c>
      <c r="H33" s="15" t="str">
        <f t="shared" ref="H33:H96" si="5">IF(F33="","",F33-G33)</f>
        <v/>
      </c>
    </row>
    <row r="34" spans="2:8">
      <c r="B34" s="10" t="str" cm="1">
        <f t="array" ref="B34">IF(A34="","",SUMPRODUCT((Detail_recettes!$C$5:$C$200=A34)*Detail_recettes!$E$5:$E$200*_xlfn.XLOOKUP(Detail_recettes!$B$5:$B$200,$L$6:$L$18,$M$6:$M$18,0))/1000)</f>
        <v/>
      </c>
      <c r="C34" s="14"/>
      <c r="D34" s="10" t="str">
        <f t="shared" si="3"/>
        <v/>
      </c>
      <c r="F34" s="11" t="str">
        <f t="shared" si="4"/>
        <v/>
      </c>
      <c r="G34" s="11" t="str">
        <f>IF(A34="","",_xlfn.XLOOKUP(A34,Ingrédients!$B$5:$B$1000,Ingrédients!$D$5:$D$1000)*D34)</f>
        <v/>
      </c>
      <c r="H34" s="15" t="str">
        <f t="shared" si="5"/>
        <v/>
      </c>
    </row>
    <row r="35" spans="2:8">
      <c r="B35" s="10" t="str" cm="1">
        <f t="array" ref="B35">IF(A35="","",SUMPRODUCT((Detail_recettes!$C$5:$C$200=A35)*Detail_recettes!$E$5:$E$200*_xlfn.XLOOKUP(Detail_recettes!$B$5:$B$200,$L$6:$L$18,$M$6:$M$18,0))/1000)</f>
        <v/>
      </c>
      <c r="C35" s="14"/>
      <c r="D35" s="10" t="str">
        <f t="shared" si="3"/>
        <v/>
      </c>
      <c r="F35" s="11" t="str">
        <f t="shared" si="4"/>
        <v/>
      </c>
      <c r="G35" s="11" t="str">
        <f>IF(A35="","",_xlfn.XLOOKUP(A35,Ingrédients!$B$5:$B$1000,Ingrédients!$D$5:$D$1000)*D35)</f>
        <v/>
      </c>
      <c r="H35" s="15" t="str">
        <f t="shared" si="5"/>
        <v/>
      </c>
    </row>
    <row r="36" spans="2:8">
      <c r="B36" s="10" t="str" cm="1">
        <f t="array" ref="B36">IF(A36="","",SUMPRODUCT((Detail_recettes!$C$5:$C$200=A36)*Detail_recettes!$E$5:$E$200*_xlfn.XLOOKUP(Detail_recettes!$B$5:$B$200,$L$6:$L$18,$M$6:$M$18,0))/1000)</f>
        <v/>
      </c>
      <c r="C36" s="14"/>
      <c r="D36" s="10" t="str">
        <f t="shared" si="3"/>
        <v/>
      </c>
      <c r="F36" s="11" t="str">
        <f t="shared" si="4"/>
        <v/>
      </c>
      <c r="G36" s="11" t="str">
        <f>IF(A36="","",_xlfn.XLOOKUP(A36,Ingrédients!$B$5:$B$1000,Ingrédients!$D$5:$D$1000)*D36)</f>
        <v/>
      </c>
      <c r="H36" s="15" t="str">
        <f t="shared" si="5"/>
        <v/>
      </c>
    </row>
    <row r="37" spans="2:8">
      <c r="B37" s="10" t="str" cm="1">
        <f t="array" ref="B37">IF(A37="","",SUMPRODUCT((Detail_recettes!$C$5:$C$200=A37)*Detail_recettes!$E$5:$E$200*_xlfn.XLOOKUP(Detail_recettes!$B$5:$B$200,$L$6:$L$18,$M$6:$M$18,0))/1000)</f>
        <v/>
      </c>
      <c r="C37" s="14"/>
      <c r="D37" s="10" t="str">
        <f t="shared" si="3"/>
        <v/>
      </c>
      <c r="F37" s="11" t="str">
        <f t="shared" si="4"/>
        <v/>
      </c>
      <c r="G37" s="11" t="str">
        <f>IF(A37="","",_xlfn.XLOOKUP(A37,Ingrédients!$B$5:$B$1000,Ingrédients!$D$5:$D$1000)*D37)</f>
        <v/>
      </c>
      <c r="H37" s="15" t="str">
        <f t="shared" si="5"/>
        <v/>
      </c>
    </row>
    <row r="38" spans="2:8">
      <c r="B38" s="10" t="str" cm="1">
        <f t="array" ref="B38">IF(A38="","",SUMPRODUCT((Detail_recettes!$C$5:$C$200=A38)*Detail_recettes!$E$5:$E$200*_xlfn.XLOOKUP(Detail_recettes!$B$5:$B$200,$L$6:$L$18,$M$6:$M$18,0))/1000)</f>
        <v/>
      </c>
      <c r="C38" s="14"/>
      <c r="D38" s="10" t="str">
        <f t="shared" si="3"/>
        <v/>
      </c>
      <c r="F38" s="11" t="str">
        <f t="shared" si="4"/>
        <v/>
      </c>
      <c r="G38" s="11" t="str">
        <f>IF(A38="","",_xlfn.XLOOKUP(A38,Ingrédients!$B$5:$B$1000,Ingrédients!$D$5:$D$1000)*D38)</f>
        <v/>
      </c>
      <c r="H38" s="15" t="str">
        <f t="shared" si="5"/>
        <v/>
      </c>
    </row>
    <row r="39" spans="2:8">
      <c r="B39" s="10" t="str" cm="1">
        <f t="array" ref="B39">IF(A39="","",SUMPRODUCT((Detail_recettes!$C$5:$C$200=A39)*Detail_recettes!$E$5:$E$200*_xlfn.XLOOKUP(Detail_recettes!$B$5:$B$200,$L$6:$L$18,$M$6:$M$18,0))/1000)</f>
        <v/>
      </c>
      <c r="C39" s="14"/>
      <c r="D39" s="10" t="str">
        <f t="shared" si="3"/>
        <v/>
      </c>
      <c r="F39" s="11" t="str">
        <f t="shared" si="4"/>
        <v/>
      </c>
      <c r="G39" s="11" t="str">
        <f>IF(A39="","",_xlfn.XLOOKUP(A39,Ingrédients!$B$5:$B$1000,Ingrédients!$D$5:$D$1000)*D39)</f>
        <v/>
      </c>
      <c r="H39" s="15" t="str">
        <f t="shared" si="5"/>
        <v/>
      </c>
    </row>
    <row r="40" spans="2:8">
      <c r="B40" s="10" t="str" cm="1">
        <f t="array" ref="B40">IF(A40="","",SUMPRODUCT((Detail_recettes!$C$5:$C$200=A40)*Detail_recettes!$E$5:$E$200*_xlfn.XLOOKUP(Detail_recettes!$B$5:$B$200,$L$6:$L$18,$M$6:$M$18,0))/1000)</f>
        <v/>
      </c>
      <c r="C40" s="14"/>
      <c r="D40" s="10" t="str">
        <f t="shared" si="3"/>
        <v/>
      </c>
      <c r="F40" s="11" t="str">
        <f t="shared" si="4"/>
        <v/>
      </c>
      <c r="G40" s="11" t="str">
        <f>IF(A40="","",_xlfn.XLOOKUP(A40,Ingrédients!$B$5:$B$1000,Ingrédients!$D$5:$D$1000)*D40)</f>
        <v/>
      </c>
      <c r="H40" s="15" t="str">
        <f t="shared" si="5"/>
        <v/>
      </c>
    </row>
    <row r="41" spans="2:8">
      <c r="B41" s="10" t="str" cm="1">
        <f t="array" ref="B41">IF(A41="","",SUMPRODUCT((Detail_recettes!$C$5:$C$200=A41)*Detail_recettes!$E$5:$E$200*_xlfn.XLOOKUP(Detail_recettes!$B$5:$B$200,$L$6:$L$18,$M$6:$M$18,0))/1000)</f>
        <v/>
      </c>
      <c r="C41" s="14"/>
      <c r="D41" s="10" t="str">
        <f t="shared" si="3"/>
        <v/>
      </c>
      <c r="F41" s="11" t="str">
        <f t="shared" si="4"/>
        <v/>
      </c>
      <c r="G41" s="11" t="str">
        <f>IF(A41="","",_xlfn.XLOOKUP(A41,Ingrédients!$B$5:$B$1000,Ingrédients!$D$5:$D$1000)*D41)</f>
        <v/>
      </c>
      <c r="H41" s="15" t="str">
        <f t="shared" si="5"/>
        <v/>
      </c>
    </row>
    <row r="42" spans="2:8">
      <c r="B42" s="10" t="str" cm="1">
        <f t="array" ref="B42">IF(A42="","",SUMPRODUCT((Detail_recettes!$C$5:$C$200=A42)*Detail_recettes!$E$5:$E$200*_xlfn.XLOOKUP(Detail_recettes!$B$5:$B$200,$L$6:$L$18,$M$6:$M$18,0))/1000)</f>
        <v/>
      </c>
      <c r="C42" s="14"/>
      <c r="D42" s="10" t="str">
        <f t="shared" si="3"/>
        <v/>
      </c>
      <c r="F42" s="11" t="str">
        <f t="shared" si="4"/>
        <v/>
      </c>
      <c r="G42" s="11" t="str">
        <f>IF(A42="","",_xlfn.XLOOKUP(A42,Ingrédients!$B$5:$B$1000,Ingrédients!$D$5:$D$1000)*D42)</f>
        <v/>
      </c>
      <c r="H42" s="15" t="str">
        <f t="shared" si="5"/>
        <v/>
      </c>
    </row>
    <row r="43" spans="2:8">
      <c r="B43" s="10" t="str" cm="1">
        <f t="array" ref="B43">IF(A43="","",SUMPRODUCT((Detail_recettes!$C$5:$C$200=A43)*Detail_recettes!$E$5:$E$200*_xlfn.XLOOKUP(Detail_recettes!$B$5:$B$200,$L$6:$L$18,$M$6:$M$18,0))/1000)</f>
        <v/>
      </c>
      <c r="C43" s="14"/>
      <c r="D43" s="10" t="str">
        <f t="shared" si="3"/>
        <v/>
      </c>
      <c r="F43" s="11" t="str">
        <f t="shared" si="4"/>
        <v/>
      </c>
      <c r="G43" s="11" t="str">
        <f>IF(A43="","",_xlfn.XLOOKUP(A43,Ingrédients!$B$5:$B$1000,Ingrédients!$D$5:$D$1000)*D43)</f>
        <v/>
      </c>
      <c r="H43" s="15" t="str">
        <f t="shared" si="5"/>
        <v/>
      </c>
    </row>
    <row r="44" spans="2:8">
      <c r="B44" s="10" t="str" cm="1">
        <f t="array" ref="B44">IF(A44="","",SUMPRODUCT((Detail_recettes!$C$5:$C$200=A44)*Detail_recettes!$E$5:$E$200*_xlfn.XLOOKUP(Detail_recettes!$B$5:$B$200,$L$6:$L$18,$M$6:$M$18,0))/1000)</f>
        <v/>
      </c>
      <c r="C44" s="14"/>
      <c r="D44" s="10" t="str">
        <f t="shared" si="3"/>
        <v/>
      </c>
      <c r="F44" s="11" t="str">
        <f t="shared" si="4"/>
        <v/>
      </c>
      <c r="G44" s="11" t="str">
        <f>IF(A44="","",_xlfn.XLOOKUP(A44,Ingrédients!$B$5:$B$1000,Ingrédients!$D$5:$D$1000)*D44)</f>
        <v/>
      </c>
      <c r="H44" s="15" t="str">
        <f t="shared" si="5"/>
        <v/>
      </c>
    </row>
    <row r="45" spans="2:8">
      <c r="B45" s="10" t="str" cm="1">
        <f t="array" ref="B45">IF(A45="","",SUMPRODUCT((Detail_recettes!$C$5:$C$200=A45)*Detail_recettes!$E$5:$E$200*_xlfn.XLOOKUP(Detail_recettes!$B$5:$B$200,$L$6:$L$18,$M$6:$M$18,0))/1000)</f>
        <v/>
      </c>
      <c r="C45" s="14"/>
      <c r="D45" s="10" t="str">
        <f t="shared" si="3"/>
        <v/>
      </c>
      <c r="F45" s="11" t="str">
        <f t="shared" si="4"/>
        <v/>
      </c>
      <c r="G45" s="11" t="str">
        <f>IF(A45="","",_xlfn.XLOOKUP(A45,Ingrédients!$B$5:$B$1000,Ingrédients!$D$5:$D$1000)*D45)</f>
        <v/>
      </c>
      <c r="H45" s="15" t="str">
        <f t="shared" si="5"/>
        <v/>
      </c>
    </row>
    <row r="46" spans="2:8">
      <c r="B46" s="10" t="str" cm="1">
        <f t="array" ref="B46">IF(A46="","",SUMPRODUCT((Detail_recettes!$C$5:$C$200=A46)*Detail_recettes!$E$5:$E$200*_xlfn.XLOOKUP(Detail_recettes!$B$5:$B$200,$L$6:$L$18,$M$6:$M$18,0))/1000)</f>
        <v/>
      </c>
      <c r="C46" s="14"/>
      <c r="D46" s="10" t="str">
        <f t="shared" si="3"/>
        <v/>
      </c>
      <c r="F46" s="11" t="str">
        <f t="shared" si="4"/>
        <v/>
      </c>
      <c r="G46" s="11" t="str">
        <f>IF(A46="","",_xlfn.XLOOKUP(A46,Ingrédients!$B$5:$B$1000,Ingrédients!$D$5:$D$1000)*D46)</f>
        <v/>
      </c>
      <c r="H46" s="15" t="str">
        <f t="shared" si="5"/>
        <v/>
      </c>
    </row>
    <row r="47" spans="2:8">
      <c r="B47" s="10" t="str" cm="1">
        <f t="array" ref="B47">IF(A47="","",SUMPRODUCT((Detail_recettes!$C$5:$C$200=A47)*Detail_recettes!$E$5:$E$200*_xlfn.XLOOKUP(Detail_recettes!$B$5:$B$200,$L$6:$L$18,$M$6:$M$18,0))/1000)</f>
        <v/>
      </c>
      <c r="C47" s="14"/>
      <c r="D47" s="10" t="str">
        <f t="shared" si="3"/>
        <v/>
      </c>
      <c r="F47" s="11" t="str">
        <f t="shared" si="4"/>
        <v/>
      </c>
      <c r="G47" s="11" t="str">
        <f>IF(A47="","",_xlfn.XLOOKUP(A47,Ingrédients!$B$5:$B$1000,Ingrédients!$D$5:$D$1000)*D47)</f>
        <v/>
      </c>
      <c r="H47" s="15" t="str">
        <f t="shared" si="5"/>
        <v/>
      </c>
    </row>
    <row r="48" spans="2:8">
      <c r="B48" s="10" t="str" cm="1">
        <f t="array" ref="B48">IF(A48="","",SUMPRODUCT((Detail_recettes!$C$5:$C$200=A48)*Detail_recettes!$E$5:$E$200*_xlfn.XLOOKUP(Detail_recettes!$B$5:$B$200,$L$6:$L$18,$M$6:$M$18,0))/1000)</f>
        <v/>
      </c>
      <c r="C48" s="14"/>
      <c r="D48" s="10" t="str">
        <f t="shared" si="3"/>
        <v/>
      </c>
      <c r="F48" s="11" t="str">
        <f t="shared" si="4"/>
        <v/>
      </c>
      <c r="G48" s="11" t="str">
        <f>IF(A48="","",_xlfn.XLOOKUP(A48,Ingrédients!$B$5:$B$1000,Ingrédients!$D$5:$D$1000)*D48)</f>
        <v/>
      </c>
      <c r="H48" s="15" t="str">
        <f t="shared" si="5"/>
        <v/>
      </c>
    </row>
    <row r="49" spans="2:8">
      <c r="B49" s="10" t="str" cm="1">
        <f t="array" ref="B49">IF(A49="","",SUMPRODUCT((Detail_recettes!$C$5:$C$200=A49)*Detail_recettes!$E$5:$E$200*_xlfn.XLOOKUP(Detail_recettes!$B$5:$B$200,$L$6:$L$18,$M$6:$M$18,0))/1000)</f>
        <v/>
      </c>
      <c r="C49" s="14"/>
      <c r="D49" s="10" t="str">
        <f t="shared" si="3"/>
        <v/>
      </c>
      <c r="F49" s="11" t="str">
        <f t="shared" si="4"/>
        <v/>
      </c>
      <c r="G49" s="11" t="str">
        <f>IF(A49="","",_xlfn.XLOOKUP(A49,Ingrédients!$B$5:$B$1000,Ingrédients!$D$5:$D$1000)*D49)</f>
        <v/>
      </c>
      <c r="H49" s="15" t="str">
        <f t="shared" si="5"/>
        <v/>
      </c>
    </row>
    <row r="50" spans="2:8">
      <c r="B50" s="10" t="str" cm="1">
        <f t="array" ref="B50">IF(A50="","",SUMPRODUCT((Detail_recettes!$C$5:$C$200=A50)*Detail_recettes!$E$5:$E$200*_xlfn.XLOOKUP(Detail_recettes!$B$5:$B$200,$L$6:$L$18,$M$6:$M$18,0))/1000)</f>
        <v/>
      </c>
      <c r="C50" s="14"/>
      <c r="D50" s="10" t="str">
        <f t="shared" si="3"/>
        <v/>
      </c>
      <c r="F50" s="11" t="str">
        <f t="shared" si="4"/>
        <v/>
      </c>
      <c r="G50" s="11" t="str">
        <f>IF(A50="","",_xlfn.XLOOKUP(A50,Ingrédients!$B$5:$B$1000,Ingrédients!$D$5:$D$1000)*D50)</f>
        <v/>
      </c>
      <c r="H50" s="15" t="str">
        <f t="shared" si="5"/>
        <v/>
      </c>
    </row>
    <row r="51" spans="2:8">
      <c r="B51" s="10" t="str" cm="1">
        <f t="array" ref="B51">IF(A51="","",SUMPRODUCT((Detail_recettes!$C$5:$C$200=A51)*Detail_recettes!$E$5:$E$200*_xlfn.XLOOKUP(Detail_recettes!$B$5:$B$200,$L$6:$L$18,$M$6:$M$18,0))/1000)</f>
        <v/>
      </c>
      <c r="C51" s="14"/>
      <c r="D51" s="10" t="str">
        <f t="shared" si="3"/>
        <v/>
      </c>
      <c r="F51" s="11" t="str">
        <f t="shared" si="4"/>
        <v/>
      </c>
      <c r="G51" s="11" t="str">
        <f>IF(A51="","",_xlfn.XLOOKUP(A51,Ingrédients!$B$5:$B$1000,Ingrédients!$D$5:$D$1000)*D51)</f>
        <v/>
      </c>
      <c r="H51" s="15" t="str">
        <f t="shared" si="5"/>
        <v/>
      </c>
    </row>
    <row r="52" spans="2:8">
      <c r="B52" s="10" t="str" cm="1">
        <f t="array" ref="B52">IF(A52="","",SUMPRODUCT((Detail_recettes!$C$5:$C$200=A52)*Detail_recettes!$E$5:$E$200*_xlfn.XLOOKUP(Detail_recettes!$B$5:$B$200,$L$6:$L$18,$M$6:$M$18,0))/1000)</f>
        <v/>
      </c>
      <c r="C52" s="14"/>
      <c r="D52" s="10" t="str">
        <f t="shared" si="3"/>
        <v/>
      </c>
      <c r="F52" s="11" t="str">
        <f t="shared" si="4"/>
        <v/>
      </c>
      <c r="G52" s="11" t="str">
        <f>IF(A52="","",_xlfn.XLOOKUP(A52,Ingrédients!$B$5:$B$1000,Ingrédients!$D$5:$D$1000)*D52)</f>
        <v/>
      </c>
      <c r="H52" s="15" t="str">
        <f t="shared" si="5"/>
        <v/>
      </c>
    </row>
    <row r="53" spans="2:8">
      <c r="B53" s="10" t="str" cm="1">
        <f t="array" ref="B53">IF(A53="","",SUMPRODUCT((Detail_recettes!$C$5:$C$200=A53)*Detail_recettes!$E$5:$E$200*_xlfn.XLOOKUP(Detail_recettes!$B$5:$B$200,$L$6:$L$18,$M$6:$M$18,0))/1000)</f>
        <v/>
      </c>
      <c r="C53" s="14"/>
      <c r="D53" s="10" t="str">
        <f t="shared" si="3"/>
        <v/>
      </c>
      <c r="F53" s="11" t="str">
        <f t="shared" si="4"/>
        <v/>
      </c>
      <c r="G53" s="11" t="str">
        <f>IF(A53="","",_xlfn.XLOOKUP(A53,Ingrédients!$B$5:$B$1000,Ingrédients!$D$5:$D$1000)*D53)</f>
        <v/>
      </c>
      <c r="H53" s="15" t="str">
        <f t="shared" si="5"/>
        <v/>
      </c>
    </row>
    <row r="54" spans="2:8">
      <c r="B54" s="10" t="str" cm="1">
        <f t="array" ref="B54">IF(A54="","",SUMPRODUCT((Detail_recettes!$C$5:$C$200=A54)*Detail_recettes!$E$5:$E$200*_xlfn.XLOOKUP(Detail_recettes!$B$5:$B$200,$L$6:$L$18,$M$6:$M$18,0))/1000)</f>
        <v/>
      </c>
      <c r="C54" s="14"/>
      <c r="D54" s="10" t="str">
        <f t="shared" si="3"/>
        <v/>
      </c>
      <c r="F54" s="11" t="str">
        <f t="shared" si="4"/>
        <v/>
      </c>
      <c r="G54" s="11" t="str">
        <f>IF(A54="","",_xlfn.XLOOKUP(A54,Ingrédients!$B$5:$B$1000,Ingrédients!$D$5:$D$1000)*D54)</f>
        <v/>
      </c>
      <c r="H54" s="15" t="str">
        <f t="shared" si="5"/>
        <v/>
      </c>
    </row>
    <row r="55" spans="2:8">
      <c r="B55" s="10" t="str" cm="1">
        <f t="array" ref="B55">IF(A55="","",SUMPRODUCT((Detail_recettes!$C$5:$C$200=A55)*Detail_recettes!$E$5:$E$200*_xlfn.XLOOKUP(Detail_recettes!$B$5:$B$200,$L$6:$L$18,$M$6:$M$18,0))/1000)</f>
        <v/>
      </c>
      <c r="C55" s="14"/>
      <c r="D55" s="10" t="str">
        <f t="shared" si="3"/>
        <v/>
      </c>
      <c r="F55" s="11" t="str">
        <f t="shared" si="4"/>
        <v/>
      </c>
      <c r="G55" s="11" t="str">
        <f>IF(A55="","",_xlfn.XLOOKUP(A55,Ingrédients!$B$5:$B$1000,Ingrédients!$D$5:$D$1000)*D55)</f>
        <v/>
      </c>
      <c r="H55" s="15" t="str">
        <f t="shared" si="5"/>
        <v/>
      </c>
    </row>
    <row r="56" spans="2:8">
      <c r="B56" s="10" t="str" cm="1">
        <f t="array" ref="B56">IF(A56="","",SUMPRODUCT((Detail_recettes!$C$5:$C$200=A56)*Detail_recettes!$E$5:$E$200*_xlfn.XLOOKUP(Detail_recettes!$B$5:$B$200,$L$6:$L$18,$M$6:$M$18,0))/1000)</f>
        <v/>
      </c>
      <c r="C56" s="14"/>
      <c r="D56" s="10" t="str">
        <f t="shared" si="3"/>
        <v/>
      </c>
      <c r="F56" s="11" t="str">
        <f t="shared" si="4"/>
        <v/>
      </c>
      <c r="G56" s="11" t="str">
        <f>IF(A56="","",_xlfn.XLOOKUP(A56,Ingrédients!$B$5:$B$1000,Ingrédients!$D$5:$D$1000)*D56)</f>
        <v/>
      </c>
      <c r="H56" s="15" t="str">
        <f t="shared" si="5"/>
        <v/>
      </c>
    </row>
    <row r="57" spans="2:8">
      <c r="B57" s="10" t="str" cm="1">
        <f t="array" ref="B57">IF(A57="","",SUMPRODUCT((Detail_recettes!$C$5:$C$200=A57)*Detail_recettes!$E$5:$E$200*_xlfn.XLOOKUP(Detail_recettes!$B$5:$B$200,$L$6:$L$18,$M$6:$M$18,0))/1000)</f>
        <v/>
      </c>
      <c r="C57" s="14"/>
      <c r="D57" s="10" t="str">
        <f t="shared" si="3"/>
        <v/>
      </c>
      <c r="F57" s="11" t="str">
        <f t="shared" si="4"/>
        <v/>
      </c>
      <c r="G57" s="11" t="str">
        <f>IF(A57="","",_xlfn.XLOOKUP(A57,Ingrédients!$B$5:$B$1000,Ingrédients!$D$5:$D$1000)*D57)</f>
        <v/>
      </c>
      <c r="H57" s="15" t="str">
        <f t="shared" si="5"/>
        <v/>
      </c>
    </row>
    <row r="58" spans="2:8">
      <c r="B58" s="10" t="str" cm="1">
        <f t="array" ref="B58">IF(A58="","",SUMPRODUCT((Detail_recettes!$C$5:$C$200=A58)*Detail_recettes!$E$5:$E$200*_xlfn.XLOOKUP(Detail_recettes!$B$5:$B$200,$L$6:$L$18,$M$6:$M$18,0))/1000)</f>
        <v/>
      </c>
      <c r="C58" s="14"/>
      <c r="D58" s="10" t="str">
        <f t="shared" si="3"/>
        <v/>
      </c>
      <c r="F58" s="11" t="str">
        <f t="shared" si="4"/>
        <v/>
      </c>
      <c r="G58" s="11" t="str">
        <f>IF(A58="","",_xlfn.XLOOKUP(A58,Ingrédients!$B$5:$B$1000,Ingrédients!$D$5:$D$1000)*D58)</f>
        <v/>
      </c>
      <c r="H58" s="15" t="str">
        <f t="shared" si="5"/>
        <v/>
      </c>
    </row>
    <row r="59" spans="2:8">
      <c r="B59" s="10" t="str" cm="1">
        <f t="array" ref="B59">IF(A59="","",SUMPRODUCT((Detail_recettes!$C$5:$C$200=A59)*Detail_recettes!$E$5:$E$200*_xlfn.XLOOKUP(Detail_recettes!$B$5:$B$200,$L$6:$L$18,$M$6:$M$18,0))/1000)</f>
        <v/>
      </c>
      <c r="C59" s="14"/>
      <c r="D59" s="10" t="str">
        <f t="shared" si="3"/>
        <v/>
      </c>
      <c r="F59" s="11" t="str">
        <f t="shared" si="4"/>
        <v/>
      </c>
      <c r="G59" s="11" t="str">
        <f>IF(A59="","",_xlfn.XLOOKUP(A59,Ingrédients!$B$5:$B$1000,Ingrédients!$D$5:$D$1000)*D59)</f>
        <v/>
      </c>
      <c r="H59" s="15" t="str">
        <f t="shared" si="5"/>
        <v/>
      </c>
    </row>
    <row r="60" spans="2:8">
      <c r="B60" s="10" t="str" cm="1">
        <f t="array" ref="B60">IF(A60="","",SUMPRODUCT((Detail_recettes!$C$5:$C$200=A60)*Detail_recettes!$E$5:$E$200*_xlfn.XLOOKUP(Detail_recettes!$B$5:$B$200,$L$6:$L$18,$M$6:$M$18,0))/1000)</f>
        <v/>
      </c>
      <c r="C60" s="14"/>
      <c r="D60" s="10" t="str">
        <f t="shared" si="3"/>
        <v/>
      </c>
      <c r="F60" s="11" t="str">
        <f t="shared" si="4"/>
        <v/>
      </c>
      <c r="G60" s="11" t="str">
        <f>IF(A60="","",_xlfn.XLOOKUP(A60,Ingrédients!$B$5:$B$1000,Ingrédients!$D$5:$D$1000)*D60)</f>
        <v/>
      </c>
      <c r="H60" s="15" t="str">
        <f t="shared" si="5"/>
        <v/>
      </c>
    </row>
    <row r="61" spans="2:8">
      <c r="B61" s="10" t="str" cm="1">
        <f t="array" ref="B61">IF(A61="","",SUMPRODUCT((Detail_recettes!$C$5:$C$200=A61)*Detail_recettes!$E$5:$E$200*_xlfn.XLOOKUP(Detail_recettes!$B$5:$B$200,$L$6:$L$18,$M$6:$M$18,0))/1000)</f>
        <v/>
      </c>
      <c r="C61" s="14"/>
      <c r="D61" s="10" t="str">
        <f t="shared" si="3"/>
        <v/>
      </c>
      <c r="F61" s="11" t="str">
        <f t="shared" si="4"/>
        <v/>
      </c>
      <c r="G61" s="11" t="str">
        <f>IF(A61="","",_xlfn.XLOOKUP(A61,Ingrédients!$B$5:$B$1000,Ingrédients!$D$5:$D$1000)*D61)</f>
        <v/>
      </c>
      <c r="H61" s="15" t="str">
        <f t="shared" si="5"/>
        <v/>
      </c>
    </row>
    <row r="62" spans="2:8">
      <c r="B62" s="10" t="str" cm="1">
        <f t="array" ref="B62">IF(A62="","",SUMPRODUCT((Detail_recettes!$C$5:$C$200=A62)*Detail_recettes!$E$5:$E$200*_xlfn.XLOOKUP(Detail_recettes!$B$5:$B$200,$L$6:$L$18,$M$6:$M$18,0))/1000)</f>
        <v/>
      </c>
      <c r="C62" s="14"/>
      <c r="D62" s="10" t="str">
        <f t="shared" si="3"/>
        <v/>
      </c>
      <c r="F62" s="11" t="str">
        <f t="shared" si="4"/>
        <v/>
      </c>
      <c r="G62" s="11" t="str">
        <f>IF(A62="","",_xlfn.XLOOKUP(A62,Ingrédients!$B$5:$B$1000,Ingrédients!$D$5:$D$1000)*D62)</f>
        <v/>
      </c>
      <c r="H62" s="15" t="str">
        <f t="shared" si="5"/>
        <v/>
      </c>
    </row>
    <row r="63" spans="2:8">
      <c r="B63" s="10" t="str" cm="1">
        <f t="array" ref="B63">IF(A63="","",SUMPRODUCT((Detail_recettes!$C$5:$C$200=A63)*Detail_recettes!$E$5:$E$200*_xlfn.XLOOKUP(Detail_recettes!$B$5:$B$200,$L$6:$L$18,$M$6:$M$18,0))/1000)</f>
        <v/>
      </c>
      <c r="C63" s="14"/>
      <c r="D63" s="10" t="str">
        <f t="shared" si="3"/>
        <v/>
      </c>
      <c r="F63" s="11" t="str">
        <f t="shared" si="4"/>
        <v/>
      </c>
      <c r="G63" s="11" t="str">
        <f>IF(A63="","",_xlfn.XLOOKUP(A63,Ingrédients!$B$5:$B$1000,Ingrédients!$D$5:$D$1000)*D63)</f>
        <v/>
      </c>
      <c r="H63" s="15" t="str">
        <f t="shared" si="5"/>
        <v/>
      </c>
    </row>
    <row r="64" spans="2:8">
      <c r="B64" s="10" t="str" cm="1">
        <f t="array" ref="B64">IF(A64="","",SUMPRODUCT((Detail_recettes!$C$5:$C$200=A64)*Detail_recettes!$E$5:$E$200*_xlfn.XLOOKUP(Detail_recettes!$B$5:$B$200,$L$6:$L$18,$M$6:$M$18,0))/1000)</f>
        <v/>
      </c>
      <c r="C64" s="14"/>
      <c r="D64" s="10" t="str">
        <f t="shared" si="3"/>
        <v/>
      </c>
      <c r="F64" s="11" t="str">
        <f t="shared" si="4"/>
        <v/>
      </c>
      <c r="G64" s="11" t="str">
        <f>IF(A64="","",_xlfn.XLOOKUP(A64,Ingrédients!$B$5:$B$1000,Ingrédients!$D$5:$D$1000)*D64)</f>
        <v/>
      </c>
      <c r="H64" s="15" t="str">
        <f t="shared" si="5"/>
        <v/>
      </c>
    </row>
    <row r="65" spans="2:8">
      <c r="B65" s="10" t="str" cm="1">
        <f t="array" ref="B65">IF(A65="","",SUMPRODUCT((Detail_recettes!$C$5:$C$200=A65)*Detail_recettes!$E$5:$E$200*_xlfn.XLOOKUP(Detail_recettes!$B$5:$B$200,$L$6:$L$18,$M$6:$M$18,0))/1000)</f>
        <v/>
      </c>
      <c r="C65" s="14"/>
      <c r="D65" s="10" t="str">
        <f t="shared" si="3"/>
        <v/>
      </c>
      <c r="F65" s="11" t="str">
        <f t="shared" si="4"/>
        <v/>
      </c>
      <c r="G65" s="11" t="str">
        <f>IF(A65="","",_xlfn.XLOOKUP(A65,Ingrédients!$B$5:$B$1000,Ingrédients!$D$5:$D$1000)*D65)</f>
        <v/>
      </c>
      <c r="H65" s="15" t="str">
        <f t="shared" si="5"/>
        <v/>
      </c>
    </row>
    <row r="66" spans="2:8">
      <c r="B66" s="10" t="str" cm="1">
        <f t="array" ref="B66">IF(A66="","",SUMPRODUCT((Detail_recettes!$C$5:$C$200=A66)*Detail_recettes!$E$5:$E$200*_xlfn.XLOOKUP(Detail_recettes!$B$5:$B$200,$L$6:$L$18,$M$6:$M$18,0))/1000)</f>
        <v/>
      </c>
      <c r="C66" s="14"/>
      <c r="D66" s="10" t="str">
        <f t="shared" si="3"/>
        <v/>
      </c>
      <c r="F66" s="11" t="str">
        <f t="shared" si="4"/>
        <v/>
      </c>
      <c r="G66" s="11" t="str">
        <f>IF(A66="","",_xlfn.XLOOKUP(A66,Ingrédients!$B$5:$B$1000,Ingrédients!$D$5:$D$1000)*D66)</f>
        <v/>
      </c>
      <c r="H66" s="15" t="str">
        <f t="shared" si="5"/>
        <v/>
      </c>
    </row>
    <row r="67" spans="2:8">
      <c r="B67" s="10" t="str" cm="1">
        <f t="array" ref="B67">IF(A67="","",SUMPRODUCT((Detail_recettes!$C$5:$C$200=A67)*Detail_recettes!$E$5:$E$200*_xlfn.XLOOKUP(Detail_recettes!$B$5:$B$200,$L$6:$L$18,$M$6:$M$18,0))/1000)</f>
        <v/>
      </c>
      <c r="C67" s="14"/>
      <c r="D67" s="10" t="str">
        <f t="shared" si="3"/>
        <v/>
      </c>
      <c r="F67" s="11" t="str">
        <f t="shared" si="4"/>
        <v/>
      </c>
      <c r="G67" s="11" t="str">
        <f>IF(A67="","",_xlfn.XLOOKUP(A67,Ingrédients!$B$5:$B$1000,Ingrédients!$D$5:$D$1000)*D67)</f>
        <v/>
      </c>
      <c r="H67" s="15" t="str">
        <f t="shared" si="5"/>
        <v/>
      </c>
    </row>
    <row r="68" spans="2:8">
      <c r="B68" s="10" t="str" cm="1">
        <f t="array" ref="B68">IF(A68="","",SUMPRODUCT((Detail_recettes!$C$5:$C$200=A68)*Detail_recettes!$E$5:$E$200*_xlfn.XLOOKUP(Detail_recettes!$B$5:$B$200,$L$6:$L$18,$M$6:$M$18,0))/1000)</f>
        <v/>
      </c>
      <c r="C68" s="14"/>
      <c r="D68" s="10" t="str">
        <f t="shared" si="3"/>
        <v/>
      </c>
      <c r="F68" s="11" t="str">
        <f t="shared" si="4"/>
        <v/>
      </c>
      <c r="G68" s="11" t="str">
        <f>IF(A68="","",_xlfn.XLOOKUP(A68,Ingrédients!$B$5:$B$1000,Ingrédients!$D$5:$D$1000)*D68)</f>
        <v/>
      </c>
      <c r="H68" s="15" t="str">
        <f t="shared" si="5"/>
        <v/>
      </c>
    </row>
    <row r="69" spans="2:8">
      <c r="B69" s="10" t="str" cm="1">
        <f t="array" ref="B69">IF(A69="","",SUMPRODUCT((Detail_recettes!$C$5:$C$200=A69)*Detail_recettes!$E$5:$E$200*_xlfn.XLOOKUP(Detail_recettes!$B$5:$B$200,$L$6:$L$18,$M$6:$M$18,0))/1000)</f>
        <v/>
      </c>
      <c r="C69" s="14"/>
      <c r="D69" s="10" t="str">
        <f t="shared" si="3"/>
        <v/>
      </c>
      <c r="F69" s="11" t="str">
        <f t="shared" si="4"/>
        <v/>
      </c>
      <c r="G69" s="11" t="str">
        <f>IF(A69="","",_xlfn.XLOOKUP(A69,Ingrédients!$B$5:$B$1000,Ingrédients!$D$5:$D$1000)*D69)</f>
        <v/>
      </c>
      <c r="H69" s="15" t="str">
        <f t="shared" si="5"/>
        <v/>
      </c>
    </row>
    <row r="70" spans="2:8">
      <c r="B70" s="10" t="str" cm="1">
        <f t="array" ref="B70">IF(A70="","",SUMPRODUCT((Detail_recettes!$C$5:$C$200=A70)*Detail_recettes!$E$5:$E$200*_xlfn.XLOOKUP(Detail_recettes!$B$5:$B$200,$L$6:$L$18,$M$6:$M$18,0))/1000)</f>
        <v/>
      </c>
      <c r="C70" s="14"/>
      <c r="D70" s="10" t="str">
        <f t="shared" si="3"/>
        <v/>
      </c>
      <c r="F70" s="11" t="str">
        <f t="shared" si="4"/>
        <v/>
      </c>
      <c r="G70" s="11" t="str">
        <f>IF(A70="","",_xlfn.XLOOKUP(A70,Ingrédients!$B$5:$B$1000,Ingrédients!$D$5:$D$1000)*D70)</f>
        <v/>
      </c>
      <c r="H70" s="15" t="str">
        <f t="shared" si="5"/>
        <v/>
      </c>
    </row>
    <row r="71" spans="2:8">
      <c r="B71" s="10" t="str" cm="1">
        <f t="array" ref="B71">IF(A71="","",SUMPRODUCT((Detail_recettes!$C$5:$C$200=A71)*Detail_recettes!$E$5:$E$200*_xlfn.XLOOKUP(Detail_recettes!$B$5:$B$200,$L$6:$L$18,$M$6:$M$18,0))/1000)</f>
        <v/>
      </c>
      <c r="C71" s="14"/>
      <c r="D71" s="10" t="str">
        <f t="shared" si="3"/>
        <v/>
      </c>
      <c r="F71" s="11" t="str">
        <f t="shared" si="4"/>
        <v/>
      </c>
      <c r="G71" s="11" t="str">
        <f>IF(A71="","",_xlfn.XLOOKUP(A71,Ingrédients!$B$5:$B$1000,Ingrédients!$D$5:$D$1000)*D71)</f>
        <v/>
      </c>
      <c r="H71" s="15" t="str">
        <f t="shared" si="5"/>
        <v/>
      </c>
    </row>
    <row r="72" spans="2:8">
      <c r="B72" s="10" t="str" cm="1">
        <f t="array" ref="B72">IF(A72="","",SUMPRODUCT((Detail_recettes!$C$5:$C$200=A72)*Detail_recettes!$E$5:$E$200*_xlfn.XLOOKUP(Detail_recettes!$B$5:$B$200,$L$6:$L$18,$M$6:$M$18,0))/1000)</f>
        <v/>
      </c>
      <c r="C72" s="14"/>
      <c r="D72" s="10" t="str">
        <f t="shared" si="3"/>
        <v/>
      </c>
      <c r="F72" s="11" t="str">
        <f t="shared" si="4"/>
        <v/>
      </c>
      <c r="G72" s="11" t="str">
        <f>IF(A72="","",_xlfn.XLOOKUP(A72,Ingrédients!$B$5:$B$1000,Ingrédients!$D$5:$D$1000)*D72)</f>
        <v/>
      </c>
      <c r="H72" s="15" t="str">
        <f t="shared" si="5"/>
        <v/>
      </c>
    </row>
    <row r="73" spans="2:8">
      <c r="B73" s="10" t="str" cm="1">
        <f t="array" ref="B73">IF(A73="","",SUMPRODUCT((Detail_recettes!$C$5:$C$200=A73)*Detail_recettes!$E$5:$E$200*_xlfn.XLOOKUP(Detail_recettes!$B$5:$B$200,$L$6:$L$18,$M$6:$M$18,0))/1000)</f>
        <v/>
      </c>
      <c r="C73" s="14"/>
      <c r="D73" s="10" t="str">
        <f t="shared" si="3"/>
        <v/>
      </c>
      <c r="F73" s="11" t="str">
        <f t="shared" si="4"/>
        <v/>
      </c>
      <c r="G73" s="11" t="str">
        <f>IF(A73="","",_xlfn.XLOOKUP(A73,Ingrédients!$B$5:$B$1000,Ingrédients!$D$5:$D$1000)*D73)</f>
        <v/>
      </c>
      <c r="H73" s="15" t="str">
        <f t="shared" si="5"/>
        <v/>
      </c>
    </row>
    <row r="74" spans="2:8">
      <c r="B74" s="10" t="str" cm="1">
        <f t="array" ref="B74">IF(A74="","",SUMPRODUCT((Detail_recettes!$C$5:$C$200=A74)*Detail_recettes!$E$5:$E$200*_xlfn.XLOOKUP(Detail_recettes!$B$5:$B$200,$L$6:$L$18,$M$6:$M$18,0))/1000)</f>
        <v/>
      </c>
      <c r="C74" s="14"/>
      <c r="D74" s="10" t="str">
        <f t="shared" si="3"/>
        <v/>
      </c>
      <c r="F74" s="11" t="str">
        <f t="shared" si="4"/>
        <v/>
      </c>
      <c r="G74" s="11" t="str">
        <f>IF(A74="","",_xlfn.XLOOKUP(A74,Ingrédients!$B$5:$B$1000,Ingrédients!$D$5:$D$1000)*D74)</f>
        <v/>
      </c>
      <c r="H74" s="15" t="str">
        <f t="shared" si="5"/>
        <v/>
      </c>
    </row>
    <row r="75" spans="2:8">
      <c r="B75" s="10" t="str" cm="1">
        <f t="array" ref="B75">IF(A75="","",SUMPRODUCT((Detail_recettes!$C$5:$C$200=A75)*Detail_recettes!$E$5:$E$200*_xlfn.XLOOKUP(Detail_recettes!$B$5:$B$200,$L$6:$L$18,$M$6:$M$18,0))/1000)</f>
        <v/>
      </c>
      <c r="C75" s="14"/>
      <c r="D75" s="10" t="str">
        <f t="shared" si="3"/>
        <v/>
      </c>
      <c r="F75" s="11" t="str">
        <f t="shared" si="4"/>
        <v/>
      </c>
      <c r="G75" s="11" t="str">
        <f>IF(A75="","",_xlfn.XLOOKUP(A75,Ingrédients!$B$5:$B$1000,Ingrédients!$D$5:$D$1000)*D75)</f>
        <v/>
      </c>
      <c r="H75" s="15" t="str">
        <f t="shared" si="5"/>
        <v/>
      </c>
    </row>
    <row r="76" spans="2:8">
      <c r="B76" s="10" t="str" cm="1">
        <f t="array" ref="B76">IF(A76="","",SUMPRODUCT((Detail_recettes!$C$5:$C$200=A76)*Detail_recettes!$E$5:$E$200*_xlfn.XLOOKUP(Detail_recettes!$B$5:$B$200,$L$6:$L$18,$M$6:$M$18,0))/1000)</f>
        <v/>
      </c>
      <c r="C76" s="14"/>
      <c r="D76" s="10" t="str">
        <f t="shared" si="3"/>
        <v/>
      </c>
      <c r="F76" s="11" t="str">
        <f t="shared" si="4"/>
        <v/>
      </c>
      <c r="G76" s="11" t="str">
        <f>IF(A76="","",_xlfn.XLOOKUP(A76,Ingrédients!$B$5:$B$1000,Ingrédients!$D$5:$D$1000)*D76)</f>
        <v/>
      </c>
      <c r="H76" s="15" t="str">
        <f t="shared" si="5"/>
        <v/>
      </c>
    </row>
    <row r="77" spans="2:8">
      <c r="B77" s="10" t="str" cm="1">
        <f t="array" ref="B77">IF(A77="","",SUMPRODUCT((Detail_recettes!$C$5:$C$200=A77)*Detail_recettes!$E$5:$E$200*_xlfn.XLOOKUP(Detail_recettes!$B$5:$B$200,$L$6:$L$18,$M$6:$M$18,0))/1000)</f>
        <v/>
      </c>
      <c r="C77" s="14"/>
      <c r="D77" s="10" t="str">
        <f t="shared" si="3"/>
        <v/>
      </c>
      <c r="F77" s="11" t="str">
        <f t="shared" si="4"/>
        <v/>
      </c>
      <c r="G77" s="11" t="str">
        <f>IF(A77="","",_xlfn.XLOOKUP(A77,Ingrédients!$B$5:$B$1000,Ingrédients!$D$5:$D$1000)*D77)</f>
        <v/>
      </c>
      <c r="H77" s="15" t="str">
        <f t="shared" si="5"/>
        <v/>
      </c>
    </row>
    <row r="78" spans="2:8">
      <c r="B78" s="10" t="str" cm="1">
        <f t="array" ref="B78">IF(A78="","",SUMPRODUCT((Detail_recettes!$C$5:$C$200=A78)*Detail_recettes!$E$5:$E$200*_xlfn.XLOOKUP(Detail_recettes!$B$5:$B$200,$L$6:$L$18,$M$6:$M$18,0))/1000)</f>
        <v/>
      </c>
      <c r="C78" s="14"/>
      <c r="D78" s="10" t="str">
        <f t="shared" si="3"/>
        <v/>
      </c>
      <c r="F78" s="11" t="str">
        <f t="shared" si="4"/>
        <v/>
      </c>
      <c r="G78" s="11" t="str">
        <f>IF(A78="","",_xlfn.XLOOKUP(A78,Ingrédients!$B$5:$B$1000,Ingrédients!$D$5:$D$1000)*D78)</f>
        <v/>
      </c>
      <c r="H78" s="15" t="str">
        <f t="shared" si="5"/>
        <v/>
      </c>
    </row>
    <row r="79" spans="2:8">
      <c r="B79" s="10" t="str" cm="1">
        <f t="array" ref="B79">IF(A79="","",SUMPRODUCT((Detail_recettes!$C$5:$C$200=A79)*Detail_recettes!$E$5:$E$200*_xlfn.XLOOKUP(Detail_recettes!$B$5:$B$200,$L$6:$L$18,$M$6:$M$18,0))/1000)</f>
        <v/>
      </c>
      <c r="C79" s="14"/>
      <c r="D79" s="10" t="str">
        <f t="shared" si="3"/>
        <v/>
      </c>
      <c r="F79" s="11" t="str">
        <f t="shared" si="4"/>
        <v/>
      </c>
      <c r="G79" s="11" t="str">
        <f>IF(A79="","",_xlfn.XLOOKUP(A79,Ingrédients!$B$5:$B$1000,Ingrédients!$D$5:$D$1000)*D79)</f>
        <v/>
      </c>
      <c r="H79" s="15" t="str">
        <f t="shared" si="5"/>
        <v/>
      </c>
    </row>
    <row r="80" spans="2:8">
      <c r="B80" s="10" t="str" cm="1">
        <f t="array" ref="B80">IF(A80="","",SUMPRODUCT((Detail_recettes!$C$5:$C$200=A80)*Detail_recettes!$E$5:$E$200*_xlfn.XLOOKUP(Detail_recettes!$B$5:$B$200,$L$6:$L$18,$M$6:$M$18,0))/1000)</f>
        <v/>
      </c>
      <c r="C80" s="14"/>
      <c r="D80" s="10" t="str">
        <f t="shared" si="3"/>
        <v/>
      </c>
      <c r="F80" s="11" t="str">
        <f t="shared" si="4"/>
        <v/>
      </c>
      <c r="G80" s="11" t="str">
        <f>IF(A80="","",_xlfn.XLOOKUP(A80,Ingrédients!$B$5:$B$1000,Ingrédients!$D$5:$D$1000)*D80)</f>
        <v/>
      </c>
      <c r="H80" s="15" t="str">
        <f t="shared" si="5"/>
        <v/>
      </c>
    </row>
    <row r="81" spans="2:8">
      <c r="B81" s="10" t="str" cm="1">
        <f t="array" ref="B81">IF(A81="","",SUMPRODUCT((Detail_recettes!$C$5:$C$200=A81)*Detail_recettes!$E$5:$E$200*_xlfn.XLOOKUP(Detail_recettes!$B$5:$B$200,$L$6:$L$18,$M$6:$M$18,0))/1000)</f>
        <v/>
      </c>
      <c r="C81" s="14"/>
      <c r="D81" s="10" t="str">
        <f t="shared" si="3"/>
        <v/>
      </c>
      <c r="F81" s="11" t="str">
        <f t="shared" si="4"/>
        <v/>
      </c>
      <c r="G81" s="11" t="str">
        <f>IF(A81="","",_xlfn.XLOOKUP(A81,Ingrédients!$B$5:$B$1000,Ingrédients!$D$5:$D$1000)*D81)</f>
        <v/>
      </c>
      <c r="H81" s="15" t="str">
        <f t="shared" si="5"/>
        <v/>
      </c>
    </row>
    <row r="82" spans="2:8">
      <c r="B82" s="10" t="str" cm="1">
        <f t="array" ref="B82">IF(A82="","",SUMPRODUCT((Detail_recettes!$C$5:$C$200=A82)*Detail_recettes!$E$5:$E$200*_xlfn.XLOOKUP(Detail_recettes!$B$5:$B$200,$L$6:$L$18,$M$6:$M$18,0))/1000)</f>
        <v/>
      </c>
      <c r="C82" s="14"/>
      <c r="D82" s="10" t="str">
        <f t="shared" si="3"/>
        <v/>
      </c>
      <c r="F82" s="11" t="str">
        <f t="shared" si="4"/>
        <v/>
      </c>
      <c r="G82" s="11" t="str">
        <f>IF(A82="","",_xlfn.XLOOKUP(A82,Ingrédients!$B$5:$B$1000,Ingrédients!$D$5:$D$1000)*D82)</f>
        <v/>
      </c>
      <c r="H82" s="15" t="str">
        <f t="shared" si="5"/>
        <v/>
      </c>
    </row>
    <row r="83" spans="2:8">
      <c r="B83" s="10" t="str" cm="1">
        <f t="array" ref="B83">IF(A83="","",SUMPRODUCT((Detail_recettes!$C$5:$C$200=A83)*Detail_recettes!$E$5:$E$200*_xlfn.XLOOKUP(Detail_recettes!$B$5:$B$200,$L$6:$L$18,$M$6:$M$18,0))/1000)</f>
        <v/>
      </c>
      <c r="C83" s="14"/>
      <c r="D83" s="10" t="str">
        <f t="shared" si="3"/>
        <v/>
      </c>
      <c r="F83" s="11" t="str">
        <f t="shared" si="4"/>
        <v/>
      </c>
      <c r="G83" s="11" t="str">
        <f>IF(A83="","",_xlfn.XLOOKUP(A83,Ingrédients!$B$5:$B$1000,Ingrédients!$D$5:$D$1000)*D83)</f>
        <v/>
      </c>
      <c r="H83" s="15" t="str">
        <f t="shared" si="5"/>
        <v/>
      </c>
    </row>
    <row r="84" spans="2:8">
      <c r="B84" s="10" t="str" cm="1">
        <f t="array" ref="B84">IF(A84="","",SUMPRODUCT((Detail_recettes!$C$5:$C$200=A84)*Detail_recettes!$E$5:$E$200*_xlfn.XLOOKUP(Detail_recettes!$B$5:$B$200,$L$6:$L$18,$M$6:$M$18,0))/1000)</f>
        <v/>
      </c>
      <c r="C84" s="14"/>
      <c r="D84" s="10" t="str">
        <f t="shared" si="3"/>
        <v/>
      </c>
      <c r="F84" s="11" t="str">
        <f t="shared" si="4"/>
        <v/>
      </c>
      <c r="G84" s="11" t="str">
        <f>IF(A84="","",_xlfn.XLOOKUP(A84,Ingrédients!$B$5:$B$1000,Ingrédients!$D$5:$D$1000)*D84)</f>
        <v/>
      </c>
      <c r="H84" s="15" t="str">
        <f t="shared" si="5"/>
        <v/>
      </c>
    </row>
    <row r="85" spans="2:8">
      <c r="B85" s="10" t="str" cm="1">
        <f t="array" ref="B85">IF(A85="","",SUMPRODUCT((Detail_recettes!$C$5:$C$200=A85)*Detail_recettes!$E$5:$E$200*_xlfn.XLOOKUP(Detail_recettes!$B$5:$B$200,$L$6:$L$18,$M$6:$M$18,0))/1000)</f>
        <v/>
      </c>
      <c r="C85" s="14"/>
      <c r="D85" s="10" t="str">
        <f t="shared" si="3"/>
        <v/>
      </c>
      <c r="F85" s="11" t="str">
        <f t="shared" si="4"/>
        <v/>
      </c>
      <c r="G85" s="11" t="str">
        <f>IF(A85="","",_xlfn.XLOOKUP(A85,Ingrédients!$B$5:$B$1000,Ingrédients!$D$5:$D$1000)*D85)</f>
        <v/>
      </c>
      <c r="H85" s="15" t="str">
        <f t="shared" si="5"/>
        <v/>
      </c>
    </row>
    <row r="86" spans="2:8">
      <c r="B86" s="10" t="str" cm="1">
        <f t="array" ref="B86">IF(A86="","",SUMPRODUCT((Detail_recettes!$C$5:$C$200=A86)*Detail_recettes!$E$5:$E$200*_xlfn.XLOOKUP(Detail_recettes!$B$5:$B$200,$L$6:$L$18,$M$6:$M$18,0))/1000)</f>
        <v/>
      </c>
      <c r="C86" s="14"/>
      <c r="D86" s="10" t="str">
        <f t="shared" si="3"/>
        <v/>
      </c>
      <c r="F86" s="11" t="str">
        <f t="shared" si="4"/>
        <v/>
      </c>
      <c r="G86" s="11" t="str">
        <f>IF(A86="","",_xlfn.XLOOKUP(A86,Ingrédients!$B$5:$B$1000,Ingrédients!$D$5:$D$1000)*D86)</f>
        <v/>
      </c>
      <c r="H86" s="15" t="str">
        <f t="shared" si="5"/>
        <v/>
      </c>
    </row>
    <row r="87" spans="2:8">
      <c r="B87" s="10" t="str" cm="1">
        <f t="array" ref="B87">IF(A87="","",SUMPRODUCT((Detail_recettes!$C$5:$C$200=A87)*Detail_recettes!$E$5:$E$200*_xlfn.XLOOKUP(Detail_recettes!$B$5:$B$200,$L$6:$L$18,$M$6:$M$18,0))/1000)</f>
        <v/>
      </c>
      <c r="C87" s="14"/>
      <c r="D87" s="10" t="str">
        <f t="shared" si="3"/>
        <v/>
      </c>
      <c r="F87" s="11" t="str">
        <f t="shared" si="4"/>
        <v/>
      </c>
      <c r="G87" s="11" t="str">
        <f>IF(A87="","",_xlfn.XLOOKUP(A87,Ingrédients!$B$5:$B$1000,Ingrédients!$D$5:$D$1000)*D87)</f>
        <v/>
      </c>
      <c r="H87" s="15" t="str">
        <f t="shared" si="5"/>
        <v/>
      </c>
    </row>
    <row r="88" spans="2:8">
      <c r="B88" s="10" t="str" cm="1">
        <f t="array" ref="B88">IF(A88="","",SUMPRODUCT((Detail_recettes!$C$5:$C$200=A88)*Detail_recettes!$E$5:$E$200*_xlfn.XLOOKUP(Detail_recettes!$B$5:$B$200,$L$6:$L$18,$M$6:$M$18,0))/1000)</f>
        <v/>
      </c>
      <c r="C88" s="14"/>
      <c r="D88" s="10" t="str">
        <f t="shared" si="3"/>
        <v/>
      </c>
      <c r="F88" s="11" t="str">
        <f t="shared" si="4"/>
        <v/>
      </c>
      <c r="G88" s="11" t="str">
        <f>IF(A88="","",_xlfn.XLOOKUP(A88,Ingrédients!$B$5:$B$1000,Ingrédients!$D$5:$D$1000)*D88)</f>
        <v/>
      </c>
      <c r="H88" s="15" t="str">
        <f t="shared" si="5"/>
        <v/>
      </c>
    </row>
    <row r="89" spans="2:8">
      <c r="B89" s="10" t="str" cm="1">
        <f t="array" ref="B89">IF(A89="","",SUMPRODUCT((Detail_recettes!$C$5:$C$200=A89)*Detail_recettes!$E$5:$E$200*_xlfn.XLOOKUP(Detail_recettes!$B$5:$B$200,$L$6:$L$18,$M$6:$M$18,0))/1000)</f>
        <v/>
      </c>
      <c r="C89" s="14"/>
      <c r="D89" s="10" t="str">
        <f t="shared" si="3"/>
        <v/>
      </c>
      <c r="F89" s="11" t="str">
        <f t="shared" si="4"/>
        <v/>
      </c>
      <c r="G89" s="11" t="str">
        <f>IF(A89="","",_xlfn.XLOOKUP(A89,Ingrédients!$B$5:$B$1000,Ingrédients!$D$5:$D$1000)*D89)</f>
        <v/>
      </c>
      <c r="H89" s="15" t="str">
        <f t="shared" si="5"/>
        <v/>
      </c>
    </row>
    <row r="90" spans="2:8">
      <c r="B90" s="10" t="str" cm="1">
        <f t="array" ref="B90">IF(A90="","",SUMPRODUCT((Detail_recettes!$C$5:$C$200=A90)*Detail_recettes!$E$5:$E$200*_xlfn.XLOOKUP(Detail_recettes!$B$5:$B$200,$L$6:$L$18,$M$6:$M$18,0))/1000)</f>
        <v/>
      </c>
      <c r="C90" s="14"/>
      <c r="D90" s="10" t="str">
        <f t="shared" si="3"/>
        <v/>
      </c>
      <c r="F90" s="11" t="str">
        <f t="shared" si="4"/>
        <v/>
      </c>
      <c r="G90" s="11" t="str">
        <f>IF(A90="","",_xlfn.XLOOKUP(A90,Ingrédients!$B$5:$B$1000,Ingrédients!$D$5:$D$1000)*D90)</f>
        <v/>
      </c>
      <c r="H90" s="15" t="str">
        <f t="shared" si="5"/>
        <v/>
      </c>
    </row>
    <row r="91" spans="2:8">
      <c r="B91" s="10" t="str" cm="1">
        <f t="array" ref="B91">IF(A91="","",SUMPRODUCT((Detail_recettes!$C$5:$C$200=A91)*Detail_recettes!$E$5:$E$200*_xlfn.XLOOKUP(Detail_recettes!$B$5:$B$200,$L$6:$L$18,$M$6:$M$18,0))/1000)</f>
        <v/>
      </c>
      <c r="C91" s="14"/>
      <c r="D91" s="10" t="str">
        <f t="shared" si="3"/>
        <v/>
      </c>
      <c r="F91" s="11" t="str">
        <f t="shared" si="4"/>
        <v/>
      </c>
      <c r="G91" s="11" t="str">
        <f>IF(A91="","",_xlfn.XLOOKUP(A91,Ingrédients!$B$5:$B$1000,Ingrédients!$D$5:$D$1000)*D91)</f>
        <v/>
      </c>
      <c r="H91" s="15" t="str">
        <f t="shared" si="5"/>
        <v/>
      </c>
    </row>
    <row r="92" spans="2:8">
      <c r="B92" s="10" t="str" cm="1">
        <f t="array" ref="B92">IF(A92="","",SUMPRODUCT((Detail_recettes!$C$5:$C$200=A92)*Detail_recettes!$E$5:$E$200*_xlfn.XLOOKUP(Detail_recettes!$B$5:$B$200,$L$6:$L$18,$M$6:$M$18,0))/1000)</f>
        <v/>
      </c>
      <c r="C92" s="14"/>
      <c r="D92" s="10" t="str">
        <f t="shared" si="3"/>
        <v/>
      </c>
      <c r="F92" s="11" t="str">
        <f t="shared" si="4"/>
        <v/>
      </c>
      <c r="G92" s="11" t="str">
        <f>IF(A92="","",_xlfn.XLOOKUP(A92,Ingrédients!$B$5:$B$1000,Ingrédients!$D$5:$D$1000)*D92)</f>
        <v/>
      </c>
      <c r="H92" s="15" t="str">
        <f t="shared" si="5"/>
        <v/>
      </c>
    </row>
    <row r="93" spans="2:8">
      <c r="B93" s="10" t="str" cm="1">
        <f t="array" ref="B93">IF(A93="","",SUMPRODUCT((Detail_recettes!$C$5:$C$200=A93)*Detail_recettes!$E$5:$E$200*_xlfn.XLOOKUP(Detail_recettes!$B$5:$B$200,$L$6:$L$18,$M$6:$M$18,0))/1000)</f>
        <v/>
      </c>
      <c r="C93" s="14"/>
      <c r="D93" s="10" t="str">
        <f t="shared" si="3"/>
        <v/>
      </c>
      <c r="F93" s="11" t="str">
        <f t="shared" si="4"/>
        <v/>
      </c>
      <c r="G93" s="11" t="str">
        <f>IF(A93="","",_xlfn.XLOOKUP(A93,Ingrédients!$B$5:$B$1000,Ingrédients!$D$5:$D$1000)*D93)</f>
        <v/>
      </c>
      <c r="H93" s="15" t="str">
        <f t="shared" si="5"/>
        <v/>
      </c>
    </row>
    <row r="94" spans="2:8">
      <c r="B94" s="10" t="str" cm="1">
        <f t="array" ref="B94">IF(A94="","",SUMPRODUCT((Detail_recettes!$C$5:$C$200=A94)*Detail_recettes!$E$5:$E$200*_xlfn.XLOOKUP(Detail_recettes!$B$5:$B$200,$L$6:$L$18,$M$6:$M$18,0))/1000)</f>
        <v/>
      </c>
      <c r="C94" s="14"/>
      <c r="D94" s="10" t="str">
        <f t="shared" ref="D94:D101" si="6">IF(B94="","",B94-C94)</f>
        <v/>
      </c>
      <c r="F94" s="11" t="str">
        <f t="shared" ref="F94:F101" si="7">IF(D94="","",D94*E94)</f>
        <v/>
      </c>
      <c r="G94" s="11" t="str">
        <f>IF(A94="","",_xlfn.XLOOKUP(A94,Ingrédients!$B$5:$B$1000,Ingrédients!$D$5:$D$1000)*D94)</f>
        <v/>
      </c>
      <c r="H94" s="15" t="str">
        <f t="shared" si="5"/>
        <v/>
      </c>
    </row>
    <row r="95" spans="2:8">
      <c r="B95" s="10" t="str" cm="1">
        <f t="array" ref="B95">IF(A95="","",SUMPRODUCT((Detail_recettes!$C$5:$C$200=A95)*Detail_recettes!$E$5:$E$200*_xlfn.XLOOKUP(Detail_recettes!$B$5:$B$200,$L$6:$L$18,$M$6:$M$18,0))/1000)</f>
        <v/>
      </c>
      <c r="C95" s="14"/>
      <c r="D95" s="10" t="str">
        <f t="shared" si="6"/>
        <v/>
      </c>
      <c r="F95" s="11" t="str">
        <f t="shared" si="7"/>
        <v/>
      </c>
      <c r="G95" s="11" t="str">
        <f>IF(A95="","",_xlfn.XLOOKUP(A95,Ingrédients!$B$5:$B$1000,Ingrédients!$D$5:$D$1000)*D95)</f>
        <v/>
      </c>
      <c r="H95" s="15" t="str">
        <f t="shared" si="5"/>
        <v/>
      </c>
    </row>
    <row r="96" spans="2:8">
      <c r="B96" s="10" t="str" cm="1">
        <f t="array" ref="B96">IF(A96="","",SUMPRODUCT((Detail_recettes!$C$5:$C$200=A96)*Detail_recettes!$E$5:$E$200*_xlfn.XLOOKUP(Detail_recettes!$B$5:$B$200,$L$6:$L$18,$M$6:$M$18,0))/1000)</f>
        <v/>
      </c>
      <c r="C96" s="14"/>
      <c r="D96" s="10" t="str">
        <f t="shared" si="6"/>
        <v/>
      </c>
      <c r="F96" s="11" t="str">
        <f t="shared" si="7"/>
        <v/>
      </c>
      <c r="G96" s="11" t="str">
        <f>IF(A96="","",_xlfn.XLOOKUP(A96,Ingrédients!$B$5:$B$1000,Ingrédients!$D$5:$D$1000)*D96)</f>
        <v/>
      </c>
      <c r="H96" s="15" t="str">
        <f t="shared" si="5"/>
        <v/>
      </c>
    </row>
    <row r="97" spans="2:8">
      <c r="B97" s="10" t="str" cm="1">
        <f t="array" ref="B97">IF(A97="","",SUMPRODUCT((Detail_recettes!$C$5:$C$200=A97)*Detail_recettes!$E$5:$E$200*_xlfn.XLOOKUP(Detail_recettes!$B$5:$B$200,$L$6:$L$18,$M$6:$M$18,0))/1000)</f>
        <v/>
      </c>
      <c r="C97" s="14"/>
      <c r="D97" s="10" t="str">
        <f t="shared" si="6"/>
        <v/>
      </c>
      <c r="F97" s="11" t="str">
        <f t="shared" si="7"/>
        <v/>
      </c>
      <c r="G97" s="11" t="str">
        <f>IF(A97="","",_xlfn.XLOOKUP(A97,Ingrédients!$B$5:$B$1000,Ingrédients!$D$5:$D$1000)*D97)</f>
        <v/>
      </c>
      <c r="H97" s="15" t="str">
        <f t="shared" ref="H97:H101" si="8">IF(F97="","",F97-G97)</f>
        <v/>
      </c>
    </row>
    <row r="98" spans="2:8">
      <c r="B98" s="10" t="str" cm="1">
        <f t="array" ref="B98">IF(A98="","",SUMPRODUCT((Detail_recettes!$C$5:$C$200=A98)*Detail_recettes!$E$5:$E$200*_xlfn.XLOOKUP(Detail_recettes!$B$5:$B$200,$L$6:$L$18,$M$6:$M$18,0))/1000)</f>
        <v/>
      </c>
      <c r="C98" s="14"/>
      <c r="D98" s="10" t="str">
        <f t="shared" si="6"/>
        <v/>
      </c>
      <c r="F98" s="11" t="str">
        <f t="shared" si="7"/>
        <v/>
      </c>
      <c r="G98" s="11" t="str">
        <f>IF(A98="","",_xlfn.XLOOKUP(A98,Ingrédients!$B$5:$B$1000,Ingrédients!$D$5:$D$1000)*D98)</f>
        <v/>
      </c>
      <c r="H98" s="15" t="str">
        <f t="shared" si="8"/>
        <v/>
      </c>
    </row>
    <row r="99" spans="2:8">
      <c r="B99" s="10" t="str" cm="1">
        <f t="array" ref="B99">IF(A99="","",SUMPRODUCT((Detail_recettes!$C$5:$C$200=A99)*Detail_recettes!$E$5:$E$200*_xlfn.XLOOKUP(Detail_recettes!$B$5:$B$200,$L$6:$L$18,$M$6:$M$18,0))/1000)</f>
        <v/>
      </c>
      <c r="C99" s="14"/>
      <c r="D99" s="10" t="str">
        <f t="shared" si="6"/>
        <v/>
      </c>
      <c r="F99" s="11" t="str">
        <f t="shared" si="7"/>
        <v/>
      </c>
      <c r="G99" s="11" t="str">
        <f>IF(A99="","",_xlfn.XLOOKUP(A99,Ingrédients!$B$5:$B$1000,Ingrédients!$D$5:$D$1000)*D99)</f>
        <v/>
      </c>
      <c r="H99" s="15" t="str">
        <f t="shared" si="8"/>
        <v/>
      </c>
    </row>
    <row r="100" spans="2:8">
      <c r="B100" s="10" t="str" cm="1">
        <f t="array" ref="B100">IF(A100="","",SUMPRODUCT((Detail_recettes!$C$5:$C$200=A100)*Detail_recettes!$E$5:$E$200*_xlfn.XLOOKUP(Detail_recettes!$B$5:$B$200,$L$6:$L$18,$M$6:$M$18,0))/1000)</f>
        <v/>
      </c>
      <c r="C100" s="14"/>
      <c r="D100" s="10" t="str">
        <f t="shared" si="6"/>
        <v/>
      </c>
      <c r="F100" s="11" t="str">
        <f t="shared" si="7"/>
        <v/>
      </c>
      <c r="G100" s="11" t="str">
        <f>IF(A100="","",_xlfn.XLOOKUP(A100,Ingrédients!$B$5:$B$1000,Ingrédients!$D$5:$D$1000)*D100)</f>
        <v/>
      </c>
      <c r="H100" s="15" t="str">
        <f t="shared" si="8"/>
        <v/>
      </c>
    </row>
    <row r="101" spans="2:8">
      <c r="B101" s="10" t="str" cm="1">
        <f t="array" ref="B101">IF(A101="","",SUMPRODUCT((Detail_recettes!$C$5:$C$200=A101)*Detail_recettes!$E$5:$E$200*_xlfn.XLOOKUP(Detail_recettes!$B$5:$B$200,$L$6:$L$18,$M$6:$M$18,0))/1000)</f>
        <v/>
      </c>
      <c r="C101" s="14"/>
      <c r="D101" s="10" t="str">
        <f t="shared" si="6"/>
        <v/>
      </c>
      <c r="F101" s="11" t="str">
        <f t="shared" si="7"/>
        <v/>
      </c>
      <c r="G101" s="11" t="str">
        <f>IF(A101="","",_xlfn.XLOOKUP(A101,Ingrédients!$B$5:$B$1000,Ingrédients!$D$5:$D$1000)*D101)</f>
        <v/>
      </c>
      <c r="H101" s="15" t="str">
        <f t="shared" si="8"/>
        <v/>
      </c>
    </row>
  </sheetData>
  <mergeCells count="2">
    <mergeCell ref="A4:I4"/>
    <mergeCell ref="A3:I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BD318-E8AD-46E1-9103-BD6FCD06676B}">
  <dimension ref="A1:G21"/>
  <sheetViews>
    <sheetView topLeftCell="A17" workbookViewId="0">
      <selection activeCell="F21" sqref="F21"/>
    </sheetView>
  </sheetViews>
  <sheetFormatPr baseColWidth="10" defaultRowHeight="14.4"/>
  <cols>
    <col min="2" max="2" width="30.88671875" style="2" bestFit="1" customWidth="1"/>
    <col min="6" max="6" width="42.44140625" style="2" customWidth="1"/>
    <col min="7" max="7" width="27.33203125" style="2" customWidth="1"/>
  </cols>
  <sheetData>
    <row r="1" spans="1:7" ht="21">
      <c r="A1" s="16" t="s">
        <v>161</v>
      </c>
      <c r="B1" s="16"/>
      <c r="C1" s="16"/>
      <c r="D1" s="16"/>
      <c r="E1" s="16"/>
      <c r="F1" s="16"/>
      <c r="G1" s="16"/>
    </row>
    <row r="2" spans="1:7" ht="14.4" customHeight="1">
      <c r="A2" s="20" t="s">
        <v>162</v>
      </c>
      <c r="B2" s="20"/>
      <c r="C2" s="20"/>
      <c r="D2" s="20"/>
      <c r="E2" s="20"/>
      <c r="F2" s="20"/>
      <c r="G2" s="20"/>
    </row>
    <row r="3" spans="1:7">
      <c r="F3" s="1"/>
      <c r="G3"/>
    </row>
    <row r="4" spans="1:7" ht="27.6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163</v>
      </c>
      <c r="G4" s="3" t="s">
        <v>164</v>
      </c>
    </row>
    <row r="5" spans="1:7">
      <c r="A5" t="s">
        <v>18</v>
      </c>
      <c r="B5" s="2" t="s">
        <v>83</v>
      </c>
      <c r="C5" t="s">
        <v>22</v>
      </c>
      <c r="D5" t="s">
        <v>84</v>
      </c>
      <c r="E5" t="s">
        <v>85</v>
      </c>
    </row>
    <row r="6" spans="1:7">
      <c r="A6" t="s">
        <v>19</v>
      </c>
    </row>
    <row r="7" spans="1:7" ht="57.6">
      <c r="A7" s="1" t="s">
        <v>20</v>
      </c>
      <c r="B7" s="2" t="s">
        <v>21</v>
      </c>
      <c r="C7" s="1" t="s">
        <v>22</v>
      </c>
      <c r="D7" s="1" t="s">
        <v>23</v>
      </c>
      <c r="E7" s="1" t="s">
        <v>24</v>
      </c>
      <c r="F7" s="2" t="s">
        <v>55</v>
      </c>
      <c r="G7" s="2" t="s">
        <v>56</v>
      </c>
    </row>
    <row r="8" spans="1:7" ht="57.6">
      <c r="A8" s="1" t="s">
        <v>25</v>
      </c>
      <c r="B8" s="2" t="s">
        <v>26</v>
      </c>
      <c r="C8" s="1" t="s">
        <v>27</v>
      </c>
      <c r="D8" s="1" t="s">
        <v>23</v>
      </c>
      <c r="E8" s="1" t="s">
        <v>24</v>
      </c>
      <c r="F8" s="2" t="s">
        <v>57</v>
      </c>
      <c r="G8" s="2" t="s">
        <v>58</v>
      </c>
    </row>
    <row r="9" spans="1:7" ht="43.2">
      <c r="A9" s="1" t="s">
        <v>28</v>
      </c>
      <c r="B9" s="2" t="s">
        <v>29</v>
      </c>
      <c r="C9" s="1" t="s">
        <v>27</v>
      </c>
      <c r="D9" s="1" t="s">
        <v>30</v>
      </c>
      <c r="E9" s="1" t="s">
        <v>24</v>
      </c>
      <c r="F9" s="2" t="s">
        <v>59</v>
      </c>
      <c r="G9" s="2" t="s">
        <v>60</v>
      </c>
    </row>
    <row r="10" spans="1:7" ht="43.2">
      <c r="A10" s="1" t="s">
        <v>31</v>
      </c>
      <c r="B10" s="2" t="s">
        <v>32</v>
      </c>
      <c r="C10" s="1" t="s">
        <v>22</v>
      </c>
      <c r="D10" s="1" t="s">
        <v>23</v>
      </c>
      <c r="E10" s="1" t="s">
        <v>24</v>
      </c>
      <c r="F10" s="2" t="s">
        <v>61</v>
      </c>
      <c r="G10" s="2" t="s">
        <v>62</v>
      </c>
    </row>
    <row r="11" spans="1:7" ht="57.6">
      <c r="A11" s="1" t="s">
        <v>33</v>
      </c>
      <c r="B11" s="2" t="s">
        <v>34</v>
      </c>
      <c r="C11" s="1" t="s">
        <v>22</v>
      </c>
      <c r="D11" s="1" t="s">
        <v>35</v>
      </c>
      <c r="E11" s="1" t="s">
        <v>24</v>
      </c>
      <c r="F11" s="2" t="s">
        <v>63</v>
      </c>
      <c r="G11" s="2" t="s">
        <v>64</v>
      </c>
    </row>
    <row r="12" spans="1:7" ht="57.6">
      <c r="A12" s="1" t="s">
        <v>36</v>
      </c>
      <c r="B12" s="2" t="s">
        <v>37</v>
      </c>
      <c r="C12" s="1" t="s">
        <v>27</v>
      </c>
      <c r="D12" s="1" t="s">
        <v>38</v>
      </c>
      <c r="E12" s="1" t="s">
        <v>24</v>
      </c>
      <c r="F12" s="2" t="s">
        <v>65</v>
      </c>
      <c r="G12" s="2" t="s">
        <v>66</v>
      </c>
    </row>
    <row r="13" spans="1:7" ht="43.2">
      <c r="A13" s="1" t="s">
        <v>39</v>
      </c>
      <c r="B13" s="2" t="s">
        <v>40</v>
      </c>
      <c r="C13" s="1" t="s">
        <v>22</v>
      </c>
      <c r="D13" s="1" t="s">
        <v>23</v>
      </c>
      <c r="E13" s="1" t="s">
        <v>24</v>
      </c>
      <c r="F13" s="2" t="s">
        <v>67</v>
      </c>
      <c r="G13" s="2" t="s">
        <v>68</v>
      </c>
    </row>
    <row r="14" spans="1:7" ht="43.2">
      <c r="A14" s="1" t="s">
        <v>41</v>
      </c>
      <c r="B14" s="2" t="s">
        <v>42</v>
      </c>
      <c r="C14" s="1" t="s">
        <v>27</v>
      </c>
      <c r="D14" s="1" t="s">
        <v>30</v>
      </c>
      <c r="E14" s="1" t="s">
        <v>24</v>
      </c>
      <c r="F14" s="2" t="s">
        <v>69</v>
      </c>
      <c r="G14" s="2" t="s">
        <v>70</v>
      </c>
    </row>
    <row r="15" spans="1:7" ht="57.6">
      <c r="A15" s="1" t="s">
        <v>43</v>
      </c>
      <c r="B15" s="2" t="s">
        <v>44</v>
      </c>
      <c r="C15" s="1" t="s">
        <v>27</v>
      </c>
      <c r="D15" s="1" t="s">
        <v>38</v>
      </c>
      <c r="E15" s="1" t="s">
        <v>24</v>
      </c>
      <c r="F15" s="2" t="s">
        <v>71</v>
      </c>
      <c r="G15" s="2" t="s">
        <v>72</v>
      </c>
    </row>
    <row r="16" spans="1:7" ht="43.2">
      <c r="A16" s="1" t="s">
        <v>45</v>
      </c>
      <c r="B16" s="2" t="s">
        <v>46</v>
      </c>
      <c r="C16" s="1" t="s">
        <v>22</v>
      </c>
      <c r="D16" s="1" t="s">
        <v>30</v>
      </c>
      <c r="E16" s="1" t="s">
        <v>24</v>
      </c>
      <c r="F16" s="2" t="s">
        <v>73</v>
      </c>
      <c r="G16" s="2" t="s">
        <v>74</v>
      </c>
    </row>
    <row r="17" spans="1:7" ht="43.2">
      <c r="A17" s="1" t="s">
        <v>47</v>
      </c>
      <c r="B17" s="2" t="s">
        <v>48</v>
      </c>
      <c r="C17" s="1" t="s">
        <v>22</v>
      </c>
      <c r="D17" s="1" t="s">
        <v>30</v>
      </c>
      <c r="E17" s="1" t="s">
        <v>24</v>
      </c>
      <c r="F17" s="2" t="s">
        <v>75</v>
      </c>
      <c r="G17" s="2" t="s">
        <v>76</v>
      </c>
    </row>
    <row r="18" spans="1:7" ht="43.2">
      <c r="A18" s="1" t="s">
        <v>49</v>
      </c>
      <c r="B18" s="2" t="s">
        <v>50</v>
      </c>
      <c r="C18" s="1" t="s">
        <v>22</v>
      </c>
      <c r="D18" s="1" t="s">
        <v>38</v>
      </c>
      <c r="E18" s="1" t="s">
        <v>24</v>
      </c>
      <c r="F18" s="2" t="s">
        <v>77</v>
      </c>
      <c r="G18" s="2" t="s">
        <v>78</v>
      </c>
    </row>
    <row r="19" spans="1:7" ht="57.6">
      <c r="A19" s="1" t="s">
        <v>51</v>
      </c>
      <c r="B19" s="2" t="s">
        <v>52</v>
      </c>
      <c r="C19" s="1" t="s">
        <v>27</v>
      </c>
      <c r="D19" s="1" t="s">
        <v>30</v>
      </c>
      <c r="E19" s="1" t="s">
        <v>24</v>
      </c>
      <c r="F19" s="2" t="s">
        <v>79</v>
      </c>
      <c r="G19" s="2" t="s">
        <v>80</v>
      </c>
    </row>
    <row r="20" spans="1:7" ht="57.6">
      <c r="A20" s="1" t="s">
        <v>53</v>
      </c>
      <c r="B20" s="2" t="s">
        <v>54</v>
      </c>
      <c r="C20" s="1" t="s">
        <v>27</v>
      </c>
      <c r="D20" s="1" t="s">
        <v>23</v>
      </c>
      <c r="E20" s="1" t="s">
        <v>24</v>
      </c>
      <c r="F20" s="2" t="s">
        <v>81</v>
      </c>
      <c r="G20" s="2" t="s">
        <v>82</v>
      </c>
    </row>
    <row r="21" spans="1:7" ht="86.4">
      <c r="A21" s="1" t="s">
        <v>207</v>
      </c>
      <c r="B21" s="2" t="s">
        <v>208</v>
      </c>
      <c r="C21" s="1" t="s">
        <v>27</v>
      </c>
      <c r="E21" s="1" t="s">
        <v>24</v>
      </c>
      <c r="F21" s="1" t="s">
        <v>209</v>
      </c>
    </row>
  </sheetData>
  <mergeCells count="2">
    <mergeCell ref="A1:G1"/>
    <mergeCell ref="A2:G2"/>
  </mergeCells>
  <dataValidations count="2">
    <dataValidation type="list" sqref="E7:E20" xr:uid="{C49708CF-1A14-4BD9-92E5-4F433960D294}">
      <formula1>"Oui,Non"</formula1>
    </dataValidation>
    <dataValidation type="list" sqref="C7:C20" xr:uid="{9B296B55-9013-45F8-958B-B3342EDB158E}">
      <formula1>"Végétarien,Non végétarien"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65F64-EFCF-4A86-91E9-A225BA583B9A}">
  <dimension ref="A1:F104"/>
  <sheetViews>
    <sheetView zoomScale="81" workbookViewId="0">
      <selection activeCell="D115" sqref="D115"/>
    </sheetView>
  </sheetViews>
  <sheetFormatPr baseColWidth="10" defaultRowHeight="14.4"/>
  <cols>
    <col min="2" max="2" width="45.88671875" bestFit="1" customWidth="1"/>
    <col min="3" max="3" width="23.6640625" bestFit="1" customWidth="1"/>
    <col min="4" max="4" width="25" customWidth="1"/>
    <col min="6" max="6" width="40.88671875" customWidth="1"/>
  </cols>
  <sheetData>
    <row r="1" spans="1:6" ht="21">
      <c r="A1" s="16" t="s">
        <v>177</v>
      </c>
      <c r="B1" s="16"/>
      <c r="C1" s="16"/>
      <c r="D1" s="16"/>
      <c r="E1" s="16"/>
      <c r="F1" s="16"/>
    </row>
    <row r="2" spans="1:6" ht="14.4" customHeight="1">
      <c r="A2" s="20" t="s">
        <v>176</v>
      </c>
      <c r="B2" s="20"/>
      <c r="C2" s="20"/>
      <c r="D2" s="20"/>
      <c r="E2" s="20"/>
      <c r="F2" s="20"/>
    </row>
    <row r="4" spans="1:6" ht="27.6">
      <c r="A4" s="3" t="s">
        <v>174</v>
      </c>
      <c r="B4" s="3" t="s">
        <v>17</v>
      </c>
      <c r="C4" s="3" t="s">
        <v>87</v>
      </c>
      <c r="D4" s="3" t="s">
        <v>175</v>
      </c>
      <c r="E4" s="3" t="s">
        <v>178</v>
      </c>
      <c r="F4" s="3" t="s">
        <v>90</v>
      </c>
    </row>
    <row r="5" spans="1:6">
      <c r="A5" t="s">
        <v>18</v>
      </c>
      <c r="B5" t="s">
        <v>83</v>
      </c>
      <c r="C5" t="s">
        <v>92</v>
      </c>
      <c r="D5" s="8"/>
      <c r="E5" s="8">
        <v>70</v>
      </c>
    </row>
    <row r="6" spans="1:6">
      <c r="A6" t="s">
        <v>18</v>
      </c>
      <c r="B6" t="s">
        <v>83</v>
      </c>
      <c r="C6" t="s">
        <v>95</v>
      </c>
      <c r="D6" s="8"/>
      <c r="E6" s="8">
        <v>250</v>
      </c>
    </row>
    <row r="7" spans="1:6">
      <c r="A7" t="s">
        <v>18</v>
      </c>
      <c r="B7" t="s">
        <v>83</v>
      </c>
      <c r="C7" t="s">
        <v>98</v>
      </c>
      <c r="D7" s="8"/>
      <c r="E7" s="8">
        <v>60</v>
      </c>
    </row>
    <row r="8" spans="1:6">
      <c r="A8" t="s">
        <v>18</v>
      </c>
      <c r="B8" t="s">
        <v>83</v>
      </c>
      <c r="C8" t="s">
        <v>101</v>
      </c>
      <c r="D8" s="8"/>
      <c r="E8" s="8">
        <v>150</v>
      </c>
    </row>
    <row r="9" spans="1:6">
      <c r="A9" t="s">
        <v>20</v>
      </c>
      <c r="B9" t="s">
        <v>21</v>
      </c>
      <c r="C9" t="s">
        <v>104</v>
      </c>
      <c r="D9" s="8">
        <v>160</v>
      </c>
      <c r="E9" s="8">
        <v>80</v>
      </c>
    </row>
    <row r="10" spans="1:6">
      <c r="A10" t="s">
        <v>20</v>
      </c>
      <c r="B10" t="s">
        <v>21</v>
      </c>
      <c r="C10" t="s">
        <v>109</v>
      </c>
      <c r="D10" s="8">
        <v>480</v>
      </c>
      <c r="E10" s="8">
        <v>240</v>
      </c>
    </row>
    <row r="11" spans="1:6">
      <c r="A11" t="s">
        <v>20</v>
      </c>
      <c r="B11" t="s">
        <v>21</v>
      </c>
      <c r="C11" t="s">
        <v>114</v>
      </c>
      <c r="D11" s="8">
        <v>400</v>
      </c>
      <c r="E11" s="8">
        <v>200</v>
      </c>
    </row>
    <row r="12" spans="1:6">
      <c r="A12" t="s">
        <v>20</v>
      </c>
      <c r="B12" t="s">
        <v>21</v>
      </c>
      <c r="C12" t="s">
        <v>117</v>
      </c>
      <c r="D12" s="8">
        <v>150</v>
      </c>
      <c r="E12" s="8">
        <v>75</v>
      </c>
    </row>
    <row r="13" spans="1:6">
      <c r="A13" t="s">
        <v>20</v>
      </c>
      <c r="B13" t="s">
        <v>21</v>
      </c>
      <c r="C13" t="s">
        <v>119</v>
      </c>
      <c r="D13" s="8">
        <v>200</v>
      </c>
      <c r="E13" s="8">
        <v>100</v>
      </c>
    </row>
    <row r="14" spans="1:6">
      <c r="A14" t="s">
        <v>20</v>
      </c>
      <c r="B14" t="s">
        <v>21</v>
      </c>
      <c r="C14" t="s">
        <v>150</v>
      </c>
      <c r="D14" s="8">
        <v>6</v>
      </c>
      <c r="E14" s="8">
        <v>3</v>
      </c>
    </row>
    <row r="15" spans="1:6">
      <c r="A15" t="s">
        <v>20</v>
      </c>
      <c r="B15" t="s">
        <v>21</v>
      </c>
      <c r="C15" t="s">
        <v>152</v>
      </c>
      <c r="D15" s="8">
        <v>4</v>
      </c>
      <c r="E15" s="8">
        <v>2</v>
      </c>
    </row>
    <row r="16" spans="1:6">
      <c r="A16" t="s">
        <v>20</v>
      </c>
      <c r="B16" t="s">
        <v>21</v>
      </c>
      <c r="C16" t="s">
        <v>159</v>
      </c>
      <c r="D16" s="8">
        <v>12</v>
      </c>
      <c r="E16" s="8">
        <v>6</v>
      </c>
    </row>
    <row r="17" spans="1:5">
      <c r="A17" t="s">
        <v>25</v>
      </c>
      <c r="B17" t="s">
        <v>26</v>
      </c>
      <c r="C17" t="s">
        <v>121</v>
      </c>
      <c r="D17" s="8">
        <v>240</v>
      </c>
      <c r="E17" s="8">
        <v>120</v>
      </c>
    </row>
    <row r="18" spans="1:5">
      <c r="A18" t="s">
        <v>25</v>
      </c>
      <c r="B18" t="s">
        <v>26</v>
      </c>
      <c r="C18" t="s">
        <v>104</v>
      </c>
      <c r="D18" s="8">
        <v>140</v>
      </c>
      <c r="E18" s="8">
        <v>70</v>
      </c>
    </row>
    <row r="19" spans="1:5">
      <c r="A19" t="s">
        <v>25</v>
      </c>
      <c r="B19" t="s">
        <v>26</v>
      </c>
      <c r="C19" t="s">
        <v>126</v>
      </c>
      <c r="D19" s="8">
        <v>80</v>
      </c>
      <c r="E19" s="8">
        <v>40</v>
      </c>
    </row>
    <row r="20" spans="1:5">
      <c r="A20" t="s">
        <v>25</v>
      </c>
      <c r="B20" t="s">
        <v>26</v>
      </c>
      <c r="C20" t="s">
        <v>119</v>
      </c>
      <c r="D20" s="8">
        <v>300</v>
      </c>
      <c r="E20" s="8">
        <v>150</v>
      </c>
    </row>
    <row r="21" spans="1:5">
      <c r="A21" t="s">
        <v>25</v>
      </c>
      <c r="B21" t="s">
        <v>26</v>
      </c>
      <c r="C21" t="s">
        <v>117</v>
      </c>
      <c r="D21" s="8">
        <v>150</v>
      </c>
      <c r="E21" s="8">
        <v>75</v>
      </c>
    </row>
    <row r="22" spans="1:5">
      <c r="A22" t="s">
        <v>25</v>
      </c>
      <c r="B22" t="s">
        <v>26</v>
      </c>
      <c r="C22" t="s">
        <v>95</v>
      </c>
      <c r="D22" s="8">
        <v>100</v>
      </c>
      <c r="E22" s="8">
        <v>50</v>
      </c>
    </row>
    <row r="23" spans="1:5">
      <c r="A23" t="s">
        <v>25</v>
      </c>
      <c r="B23" t="s">
        <v>26</v>
      </c>
      <c r="C23" t="s">
        <v>147</v>
      </c>
      <c r="D23" s="8">
        <v>8</v>
      </c>
      <c r="E23" s="8">
        <v>4</v>
      </c>
    </row>
    <row r="24" spans="1:5">
      <c r="A24" t="s">
        <v>25</v>
      </c>
      <c r="B24" t="s">
        <v>26</v>
      </c>
      <c r="C24" t="s">
        <v>159</v>
      </c>
      <c r="D24" s="8">
        <v>12</v>
      </c>
      <c r="E24" s="8">
        <v>6</v>
      </c>
    </row>
    <row r="25" spans="1:5">
      <c r="A25" t="s">
        <v>28</v>
      </c>
      <c r="B25" t="s">
        <v>29</v>
      </c>
      <c r="C25" t="s">
        <v>107</v>
      </c>
      <c r="D25" s="8">
        <v>180</v>
      </c>
      <c r="E25" s="8">
        <v>90</v>
      </c>
    </row>
    <row r="26" spans="1:5">
      <c r="A26" t="s">
        <v>28</v>
      </c>
      <c r="B26" t="s">
        <v>29</v>
      </c>
      <c r="C26" t="s">
        <v>140</v>
      </c>
      <c r="D26" s="8">
        <v>140</v>
      </c>
      <c r="E26" s="8">
        <v>70</v>
      </c>
    </row>
    <row r="27" spans="1:5">
      <c r="A27" t="s">
        <v>28</v>
      </c>
      <c r="B27" t="s">
        <v>29</v>
      </c>
      <c r="C27" t="s">
        <v>114</v>
      </c>
      <c r="D27" s="8">
        <v>400</v>
      </c>
      <c r="E27" s="8">
        <v>200</v>
      </c>
    </row>
    <row r="28" spans="1:5">
      <c r="A28" t="s">
        <v>28</v>
      </c>
      <c r="B28" t="s">
        <v>29</v>
      </c>
      <c r="C28" t="s">
        <v>124</v>
      </c>
      <c r="D28" s="8">
        <v>300</v>
      </c>
      <c r="E28" s="8">
        <v>150</v>
      </c>
    </row>
    <row r="29" spans="1:5">
      <c r="A29" t="s">
        <v>28</v>
      </c>
      <c r="B29" t="s">
        <v>29</v>
      </c>
      <c r="C29" t="s">
        <v>117</v>
      </c>
      <c r="D29" s="8">
        <v>150</v>
      </c>
      <c r="E29" s="8">
        <v>75</v>
      </c>
    </row>
    <row r="30" spans="1:5">
      <c r="A30" t="s">
        <v>31</v>
      </c>
      <c r="B30" t="s">
        <v>32</v>
      </c>
      <c r="C30" t="s">
        <v>126</v>
      </c>
      <c r="D30" s="8">
        <v>180</v>
      </c>
      <c r="E30" s="8">
        <v>90</v>
      </c>
    </row>
    <row r="31" spans="1:5">
      <c r="A31" t="s">
        <v>31</v>
      </c>
      <c r="B31" t="s">
        <v>32</v>
      </c>
      <c r="C31" t="s">
        <v>104</v>
      </c>
      <c r="D31" s="8">
        <v>120</v>
      </c>
      <c r="E31" s="8">
        <v>60</v>
      </c>
    </row>
    <row r="32" spans="1:5">
      <c r="A32" t="s">
        <v>31</v>
      </c>
      <c r="B32" t="s">
        <v>32</v>
      </c>
      <c r="C32" t="s">
        <v>119</v>
      </c>
      <c r="D32" s="8">
        <v>250</v>
      </c>
      <c r="E32" s="8">
        <v>125</v>
      </c>
    </row>
    <row r="33" spans="1:5">
      <c r="A33" t="s">
        <v>31</v>
      </c>
      <c r="B33" t="s">
        <v>32</v>
      </c>
      <c r="C33" t="s">
        <v>114</v>
      </c>
      <c r="D33" s="8">
        <v>400</v>
      </c>
      <c r="E33" s="8">
        <v>200</v>
      </c>
    </row>
    <row r="34" spans="1:5">
      <c r="A34" t="s">
        <v>31</v>
      </c>
      <c r="B34" t="s">
        <v>32</v>
      </c>
      <c r="C34" t="s">
        <v>117</v>
      </c>
      <c r="D34" s="8">
        <v>150</v>
      </c>
      <c r="E34" s="8">
        <v>75</v>
      </c>
    </row>
    <row r="35" spans="1:5">
      <c r="A35" t="s">
        <v>31</v>
      </c>
      <c r="B35" t="s">
        <v>32</v>
      </c>
      <c r="C35" t="s">
        <v>147</v>
      </c>
      <c r="D35" s="8">
        <v>8</v>
      </c>
      <c r="E35" s="8">
        <v>4</v>
      </c>
    </row>
    <row r="36" spans="1:5">
      <c r="A36" t="s">
        <v>33</v>
      </c>
      <c r="B36" t="s">
        <v>34</v>
      </c>
      <c r="C36" t="s">
        <v>131</v>
      </c>
      <c r="D36" s="8">
        <v>180</v>
      </c>
      <c r="E36" s="8">
        <v>90</v>
      </c>
    </row>
    <row r="37" spans="1:5">
      <c r="A37" t="s">
        <v>33</v>
      </c>
      <c r="B37" t="s">
        <v>34</v>
      </c>
      <c r="C37" t="s">
        <v>112</v>
      </c>
      <c r="D37" s="8">
        <v>480</v>
      </c>
      <c r="E37" s="8">
        <v>240</v>
      </c>
    </row>
    <row r="38" spans="1:5">
      <c r="A38" t="s">
        <v>33</v>
      </c>
      <c r="B38" t="s">
        <v>34</v>
      </c>
      <c r="C38" t="s">
        <v>133</v>
      </c>
      <c r="D38" s="8">
        <v>400</v>
      </c>
      <c r="E38" s="8">
        <v>200</v>
      </c>
    </row>
    <row r="39" spans="1:5">
      <c r="A39" t="s">
        <v>33</v>
      </c>
      <c r="B39" t="s">
        <v>34</v>
      </c>
      <c r="C39" t="s">
        <v>114</v>
      </c>
      <c r="D39" s="8">
        <v>400</v>
      </c>
      <c r="E39" s="8">
        <v>200</v>
      </c>
    </row>
    <row r="40" spans="1:5">
      <c r="A40" t="s">
        <v>33</v>
      </c>
      <c r="B40" t="s">
        <v>34</v>
      </c>
      <c r="C40" t="s">
        <v>150</v>
      </c>
      <c r="D40" s="8">
        <v>6</v>
      </c>
      <c r="E40" s="8">
        <v>3</v>
      </c>
    </row>
    <row r="41" spans="1:5">
      <c r="A41" t="s">
        <v>33</v>
      </c>
      <c r="B41" t="s">
        <v>34</v>
      </c>
      <c r="C41" t="s">
        <v>147</v>
      </c>
      <c r="D41" s="8">
        <v>6</v>
      </c>
      <c r="E41" s="8">
        <v>3</v>
      </c>
    </row>
    <row r="42" spans="1:5">
      <c r="A42" t="s">
        <v>36</v>
      </c>
      <c r="B42" t="s">
        <v>37</v>
      </c>
      <c r="C42" t="s">
        <v>121</v>
      </c>
      <c r="D42" s="8">
        <v>240</v>
      </c>
      <c r="E42" s="8">
        <v>120</v>
      </c>
    </row>
    <row r="43" spans="1:5">
      <c r="A43" t="s">
        <v>36</v>
      </c>
      <c r="B43" t="s">
        <v>37</v>
      </c>
      <c r="C43" t="s">
        <v>135</v>
      </c>
      <c r="D43" s="8">
        <v>700</v>
      </c>
      <c r="E43" s="8">
        <v>350</v>
      </c>
    </row>
    <row r="44" spans="1:5">
      <c r="A44" t="s">
        <v>36</v>
      </c>
      <c r="B44" t="s">
        <v>37</v>
      </c>
      <c r="C44" t="s">
        <v>129</v>
      </c>
      <c r="D44" s="8">
        <v>100</v>
      </c>
      <c r="E44" s="8">
        <v>50</v>
      </c>
    </row>
    <row r="45" spans="1:5">
      <c r="A45" t="s">
        <v>36</v>
      </c>
      <c r="B45" t="s">
        <v>37</v>
      </c>
      <c r="C45" t="s">
        <v>138</v>
      </c>
      <c r="D45" s="8">
        <v>400</v>
      </c>
      <c r="E45" s="8">
        <v>200</v>
      </c>
    </row>
    <row r="46" spans="1:5">
      <c r="A46" t="s">
        <v>36</v>
      </c>
      <c r="B46" t="s">
        <v>37</v>
      </c>
      <c r="C46" t="s">
        <v>117</v>
      </c>
      <c r="D46" s="8">
        <v>150</v>
      </c>
      <c r="E46" s="8">
        <v>75</v>
      </c>
    </row>
    <row r="47" spans="1:5">
      <c r="A47" t="s">
        <v>36</v>
      </c>
      <c r="B47" t="s">
        <v>37</v>
      </c>
      <c r="C47" t="s">
        <v>150</v>
      </c>
      <c r="D47" s="8">
        <v>6</v>
      </c>
      <c r="E47" s="8">
        <v>3</v>
      </c>
    </row>
    <row r="48" spans="1:5">
      <c r="A48" t="s">
        <v>36</v>
      </c>
      <c r="B48" t="s">
        <v>37</v>
      </c>
      <c r="C48" t="s">
        <v>159</v>
      </c>
      <c r="D48" s="8">
        <v>12</v>
      </c>
      <c r="E48" s="8">
        <v>6</v>
      </c>
    </row>
    <row r="49" spans="1:5">
      <c r="A49" t="s">
        <v>39</v>
      </c>
      <c r="B49" t="s">
        <v>40</v>
      </c>
      <c r="C49" t="s">
        <v>107</v>
      </c>
      <c r="D49" s="8">
        <v>180</v>
      </c>
      <c r="E49" s="8">
        <v>90</v>
      </c>
    </row>
    <row r="50" spans="1:5">
      <c r="A50" t="s">
        <v>39</v>
      </c>
      <c r="B50" t="s">
        <v>40</v>
      </c>
      <c r="C50" t="s">
        <v>129</v>
      </c>
      <c r="D50" s="8">
        <v>160</v>
      </c>
      <c r="E50" s="8">
        <v>80</v>
      </c>
    </row>
    <row r="51" spans="1:5">
      <c r="A51" t="s">
        <v>39</v>
      </c>
      <c r="B51" t="s">
        <v>40</v>
      </c>
      <c r="C51" t="s">
        <v>114</v>
      </c>
      <c r="D51" s="8">
        <v>400</v>
      </c>
      <c r="E51" s="8">
        <v>200</v>
      </c>
    </row>
    <row r="52" spans="1:5">
      <c r="A52" t="s">
        <v>39</v>
      </c>
      <c r="B52" t="s">
        <v>40</v>
      </c>
      <c r="C52" t="s">
        <v>119</v>
      </c>
      <c r="D52" s="8">
        <v>200</v>
      </c>
      <c r="E52" s="8">
        <v>100</v>
      </c>
    </row>
    <row r="53" spans="1:5">
      <c r="A53" t="s">
        <v>39</v>
      </c>
      <c r="B53" t="s">
        <v>40</v>
      </c>
      <c r="C53" t="s">
        <v>117</v>
      </c>
      <c r="D53" s="8">
        <v>150</v>
      </c>
      <c r="E53" s="8">
        <v>75</v>
      </c>
    </row>
    <row r="54" spans="1:5">
      <c r="A54" t="s">
        <v>39</v>
      </c>
      <c r="B54" t="s">
        <v>40</v>
      </c>
      <c r="C54" t="s">
        <v>157</v>
      </c>
      <c r="D54" s="8">
        <v>5</v>
      </c>
      <c r="E54" s="8">
        <v>2.5</v>
      </c>
    </row>
    <row r="55" spans="1:5">
      <c r="A55" t="s">
        <v>41</v>
      </c>
      <c r="B55" t="s">
        <v>42</v>
      </c>
      <c r="C55" t="s">
        <v>121</v>
      </c>
      <c r="D55" s="8">
        <v>220</v>
      </c>
      <c r="E55" s="8">
        <v>110</v>
      </c>
    </row>
    <row r="56" spans="1:5">
      <c r="A56" t="s">
        <v>41</v>
      </c>
      <c r="B56" t="s">
        <v>42</v>
      </c>
      <c r="C56" t="s">
        <v>104</v>
      </c>
      <c r="D56" s="8">
        <v>160</v>
      </c>
      <c r="E56" s="8">
        <v>80</v>
      </c>
    </row>
    <row r="57" spans="1:5">
      <c r="A57" t="s">
        <v>41</v>
      </c>
      <c r="B57" t="s">
        <v>42</v>
      </c>
      <c r="C57" t="s">
        <v>114</v>
      </c>
      <c r="D57" s="8">
        <v>400</v>
      </c>
      <c r="E57" s="8">
        <v>200</v>
      </c>
    </row>
    <row r="58" spans="1:5">
      <c r="A58" t="s">
        <v>41</v>
      </c>
      <c r="B58" t="s">
        <v>42</v>
      </c>
      <c r="C58" t="s">
        <v>142</v>
      </c>
      <c r="D58" s="8">
        <v>300</v>
      </c>
      <c r="E58" s="8">
        <v>150</v>
      </c>
    </row>
    <row r="59" spans="1:5">
      <c r="A59" t="s">
        <v>41</v>
      </c>
      <c r="B59" t="s">
        <v>42</v>
      </c>
      <c r="C59" t="s">
        <v>117</v>
      </c>
      <c r="D59" s="8">
        <v>150</v>
      </c>
      <c r="E59" s="8">
        <v>75</v>
      </c>
    </row>
    <row r="60" spans="1:5">
      <c r="A60" t="s">
        <v>41</v>
      </c>
      <c r="B60" t="s">
        <v>42</v>
      </c>
      <c r="C60" t="s">
        <v>150</v>
      </c>
      <c r="D60" s="8">
        <v>6</v>
      </c>
      <c r="E60" s="8">
        <v>3</v>
      </c>
    </row>
    <row r="61" spans="1:5">
      <c r="A61" t="s">
        <v>41</v>
      </c>
      <c r="B61" t="s">
        <v>42</v>
      </c>
      <c r="C61" t="s">
        <v>159</v>
      </c>
      <c r="D61" s="8">
        <v>10</v>
      </c>
      <c r="E61" s="8">
        <v>5</v>
      </c>
    </row>
    <row r="62" spans="1:5">
      <c r="A62" t="s">
        <v>43</v>
      </c>
      <c r="B62" t="s">
        <v>44</v>
      </c>
      <c r="C62" t="s">
        <v>121</v>
      </c>
      <c r="D62" s="8">
        <v>240</v>
      </c>
      <c r="E62" s="8">
        <v>120</v>
      </c>
    </row>
    <row r="63" spans="1:5">
      <c r="A63" t="s">
        <v>43</v>
      </c>
      <c r="B63" t="s">
        <v>44</v>
      </c>
      <c r="C63" t="s">
        <v>135</v>
      </c>
      <c r="D63" s="8">
        <v>650</v>
      </c>
      <c r="E63" s="8">
        <v>325</v>
      </c>
    </row>
    <row r="64" spans="1:5">
      <c r="A64" t="s">
        <v>43</v>
      </c>
      <c r="B64" t="s">
        <v>44</v>
      </c>
      <c r="C64" t="s">
        <v>129</v>
      </c>
      <c r="D64" s="8">
        <v>100</v>
      </c>
      <c r="E64" s="8">
        <v>50</v>
      </c>
    </row>
    <row r="65" spans="1:5">
      <c r="A65" t="s">
        <v>43</v>
      </c>
      <c r="B65" t="s">
        <v>44</v>
      </c>
      <c r="C65" t="s">
        <v>119</v>
      </c>
      <c r="D65" s="8">
        <v>300</v>
      </c>
      <c r="E65" s="8">
        <v>150</v>
      </c>
    </row>
    <row r="66" spans="1:5">
      <c r="A66" t="s">
        <v>43</v>
      </c>
      <c r="B66" t="s">
        <v>44</v>
      </c>
      <c r="C66" t="s">
        <v>117</v>
      </c>
      <c r="D66" s="8">
        <v>150</v>
      </c>
      <c r="E66" s="8">
        <v>75</v>
      </c>
    </row>
    <row r="67" spans="1:5">
      <c r="A67" t="s">
        <v>43</v>
      </c>
      <c r="B67" t="s">
        <v>44</v>
      </c>
      <c r="C67" t="s">
        <v>154</v>
      </c>
      <c r="D67" s="8">
        <v>20</v>
      </c>
      <c r="E67" s="8">
        <v>10</v>
      </c>
    </row>
    <row r="68" spans="1:5">
      <c r="A68" t="s">
        <v>43</v>
      </c>
      <c r="B68" t="s">
        <v>44</v>
      </c>
      <c r="C68" t="s">
        <v>159</v>
      </c>
      <c r="D68" s="8">
        <v>10</v>
      </c>
      <c r="E68" s="8">
        <v>5</v>
      </c>
    </row>
    <row r="69" spans="1:5">
      <c r="A69" t="s">
        <v>45</v>
      </c>
      <c r="B69" t="s">
        <v>46</v>
      </c>
      <c r="C69" t="s">
        <v>107</v>
      </c>
      <c r="D69" s="8">
        <v>180</v>
      </c>
      <c r="E69" s="8">
        <v>90</v>
      </c>
    </row>
    <row r="70" spans="1:5">
      <c r="A70" t="s">
        <v>45</v>
      </c>
      <c r="B70" t="s">
        <v>46</v>
      </c>
      <c r="C70" t="s">
        <v>112</v>
      </c>
      <c r="D70" s="8">
        <v>480</v>
      </c>
      <c r="E70" s="8">
        <v>240</v>
      </c>
    </row>
    <row r="71" spans="1:5">
      <c r="A71" t="s">
        <v>45</v>
      </c>
      <c r="B71" t="s">
        <v>46</v>
      </c>
      <c r="C71" t="s">
        <v>114</v>
      </c>
      <c r="D71" s="8">
        <v>400</v>
      </c>
      <c r="E71" s="8">
        <v>200</v>
      </c>
    </row>
    <row r="72" spans="1:5">
      <c r="A72" t="s">
        <v>45</v>
      </c>
      <c r="B72" t="s">
        <v>46</v>
      </c>
      <c r="C72" t="s">
        <v>124</v>
      </c>
      <c r="D72" s="8">
        <v>300</v>
      </c>
      <c r="E72" s="8">
        <v>150</v>
      </c>
    </row>
    <row r="73" spans="1:5">
      <c r="A73" t="s">
        <v>45</v>
      </c>
      <c r="B73" t="s">
        <v>46</v>
      </c>
      <c r="C73" t="s">
        <v>117</v>
      </c>
      <c r="D73" s="8">
        <v>150</v>
      </c>
      <c r="E73" s="8">
        <v>75</v>
      </c>
    </row>
    <row r="74" spans="1:5">
      <c r="A74" t="s">
        <v>47</v>
      </c>
      <c r="B74" t="s">
        <v>48</v>
      </c>
      <c r="C74" t="s">
        <v>104</v>
      </c>
      <c r="D74" s="8">
        <v>160</v>
      </c>
      <c r="E74" s="8">
        <v>80</v>
      </c>
    </row>
    <row r="75" spans="1:5">
      <c r="A75" t="s">
        <v>47</v>
      </c>
      <c r="B75" t="s">
        <v>48</v>
      </c>
      <c r="C75" t="s">
        <v>126</v>
      </c>
      <c r="D75" s="8">
        <v>160</v>
      </c>
      <c r="E75" s="8">
        <v>80</v>
      </c>
    </row>
    <row r="76" spans="1:5">
      <c r="A76" t="s">
        <v>47</v>
      </c>
      <c r="B76" t="s">
        <v>48</v>
      </c>
      <c r="C76" t="s">
        <v>142</v>
      </c>
      <c r="D76" s="8">
        <v>300</v>
      </c>
      <c r="E76" s="8">
        <v>150</v>
      </c>
    </row>
    <row r="77" spans="1:5">
      <c r="A77" t="s">
        <v>47</v>
      </c>
      <c r="B77" t="s">
        <v>48</v>
      </c>
      <c r="C77" t="s">
        <v>119</v>
      </c>
      <c r="D77" s="8">
        <v>250</v>
      </c>
      <c r="E77" s="8">
        <v>125</v>
      </c>
    </row>
    <row r="78" spans="1:5">
      <c r="A78" t="s">
        <v>47</v>
      </c>
      <c r="B78" t="s">
        <v>48</v>
      </c>
      <c r="C78" t="s">
        <v>117</v>
      </c>
      <c r="D78" s="8">
        <v>150</v>
      </c>
      <c r="E78" s="8">
        <v>75</v>
      </c>
    </row>
    <row r="79" spans="1:5">
      <c r="A79" t="s">
        <v>47</v>
      </c>
      <c r="B79" t="s">
        <v>48</v>
      </c>
      <c r="C79" t="s">
        <v>147</v>
      </c>
      <c r="D79" s="8">
        <v>8</v>
      </c>
      <c r="E79" s="8">
        <v>4</v>
      </c>
    </row>
    <row r="80" spans="1:5">
      <c r="A80" t="s">
        <v>49</v>
      </c>
      <c r="B80" t="s">
        <v>50</v>
      </c>
      <c r="C80" t="s">
        <v>129</v>
      </c>
      <c r="D80" s="8">
        <v>180</v>
      </c>
      <c r="E80" s="8">
        <v>90</v>
      </c>
    </row>
    <row r="81" spans="1:5">
      <c r="A81" t="s">
        <v>49</v>
      </c>
      <c r="B81" t="s">
        <v>50</v>
      </c>
      <c r="C81" t="s">
        <v>135</v>
      </c>
      <c r="D81" s="8">
        <v>600</v>
      </c>
      <c r="E81" s="8">
        <v>300</v>
      </c>
    </row>
    <row r="82" spans="1:5">
      <c r="A82" t="s">
        <v>49</v>
      </c>
      <c r="B82" t="s">
        <v>50</v>
      </c>
      <c r="C82" t="s">
        <v>114</v>
      </c>
      <c r="D82" s="8">
        <v>400</v>
      </c>
      <c r="E82" s="8">
        <v>200</v>
      </c>
    </row>
    <row r="83" spans="1:5">
      <c r="A83" t="s">
        <v>49</v>
      </c>
      <c r="B83" t="s">
        <v>50</v>
      </c>
      <c r="C83" t="s">
        <v>119</v>
      </c>
      <c r="D83" s="8">
        <v>200</v>
      </c>
      <c r="E83" s="8">
        <v>100</v>
      </c>
    </row>
    <row r="84" spans="1:5">
      <c r="A84" t="s">
        <v>49</v>
      </c>
      <c r="B84" t="s">
        <v>50</v>
      </c>
      <c r="C84" t="s">
        <v>117</v>
      </c>
      <c r="D84" s="8">
        <v>150</v>
      </c>
      <c r="E84" s="8">
        <v>75</v>
      </c>
    </row>
    <row r="85" spans="1:5">
      <c r="A85" t="s">
        <v>49</v>
      </c>
      <c r="B85" t="s">
        <v>50</v>
      </c>
      <c r="C85" t="s">
        <v>150</v>
      </c>
      <c r="D85" s="8">
        <v>6</v>
      </c>
      <c r="E85" s="8">
        <v>3</v>
      </c>
    </row>
    <row r="86" spans="1:5">
      <c r="A86" t="s">
        <v>51</v>
      </c>
      <c r="B86" t="s">
        <v>52</v>
      </c>
      <c r="C86" t="s">
        <v>121</v>
      </c>
      <c r="D86" s="8">
        <v>240</v>
      </c>
      <c r="E86" s="8">
        <v>120</v>
      </c>
    </row>
    <row r="87" spans="1:5">
      <c r="A87" t="s">
        <v>51</v>
      </c>
      <c r="B87" t="s">
        <v>52</v>
      </c>
      <c r="C87" t="s">
        <v>131</v>
      </c>
      <c r="D87" s="8">
        <v>160</v>
      </c>
      <c r="E87" s="8">
        <v>80</v>
      </c>
    </row>
    <row r="88" spans="1:5">
      <c r="A88" t="s">
        <v>51</v>
      </c>
      <c r="B88" t="s">
        <v>52</v>
      </c>
      <c r="C88" t="s">
        <v>126</v>
      </c>
      <c r="D88" s="8">
        <v>80</v>
      </c>
      <c r="E88" s="8">
        <v>40</v>
      </c>
    </row>
    <row r="89" spans="1:5">
      <c r="A89" t="s">
        <v>51</v>
      </c>
      <c r="B89" t="s">
        <v>52</v>
      </c>
      <c r="C89" t="s">
        <v>133</v>
      </c>
      <c r="D89" s="8">
        <v>400</v>
      </c>
      <c r="E89" s="8">
        <v>200</v>
      </c>
    </row>
    <row r="90" spans="1:5">
      <c r="A90" t="s">
        <v>51</v>
      </c>
      <c r="B90" t="s">
        <v>52</v>
      </c>
      <c r="C90" t="s">
        <v>114</v>
      </c>
      <c r="D90" s="8">
        <v>400</v>
      </c>
      <c r="E90" s="8">
        <v>200</v>
      </c>
    </row>
    <row r="91" spans="1:5">
      <c r="A91" t="s">
        <v>51</v>
      </c>
      <c r="B91" t="s">
        <v>52</v>
      </c>
      <c r="C91" t="s">
        <v>117</v>
      </c>
      <c r="D91" s="8">
        <v>150</v>
      </c>
      <c r="E91" s="8">
        <v>75</v>
      </c>
    </row>
    <row r="92" spans="1:5">
      <c r="A92" t="s">
        <v>51</v>
      </c>
      <c r="B92" t="s">
        <v>52</v>
      </c>
      <c r="C92" t="s">
        <v>150</v>
      </c>
      <c r="D92" s="8">
        <v>8</v>
      </c>
      <c r="E92" s="8">
        <v>4</v>
      </c>
    </row>
    <row r="93" spans="1:5">
      <c r="A93" t="s">
        <v>53</v>
      </c>
      <c r="B93" t="s">
        <v>54</v>
      </c>
      <c r="C93" t="s">
        <v>144</v>
      </c>
      <c r="D93" s="8">
        <v>380</v>
      </c>
      <c r="E93" s="8">
        <v>190</v>
      </c>
    </row>
    <row r="94" spans="1:5">
      <c r="A94" t="s">
        <v>53</v>
      </c>
      <c r="B94" t="s">
        <v>54</v>
      </c>
      <c r="C94" t="s">
        <v>135</v>
      </c>
      <c r="D94" s="8">
        <v>700</v>
      </c>
      <c r="E94" s="8">
        <v>350</v>
      </c>
    </row>
    <row r="95" spans="1:5">
      <c r="A95" t="s">
        <v>53</v>
      </c>
      <c r="B95" t="s">
        <v>54</v>
      </c>
      <c r="C95" t="s">
        <v>138</v>
      </c>
      <c r="D95" s="8">
        <v>400</v>
      </c>
      <c r="E95" s="8">
        <v>200</v>
      </c>
    </row>
    <row r="96" spans="1:5">
      <c r="A96" t="s">
        <v>53</v>
      </c>
      <c r="B96" t="s">
        <v>54</v>
      </c>
      <c r="C96" t="s">
        <v>95</v>
      </c>
      <c r="D96" s="8">
        <v>100</v>
      </c>
      <c r="E96" s="8">
        <v>50</v>
      </c>
    </row>
    <row r="97" spans="1:5">
      <c r="A97" t="s">
        <v>53</v>
      </c>
      <c r="B97" t="s">
        <v>54</v>
      </c>
      <c r="C97" t="s">
        <v>154</v>
      </c>
      <c r="D97" s="8">
        <v>20</v>
      </c>
      <c r="E97" s="8">
        <v>10</v>
      </c>
    </row>
    <row r="98" spans="1:5">
      <c r="A98" t="s">
        <v>207</v>
      </c>
      <c r="B98" t="s">
        <v>208</v>
      </c>
      <c r="C98" t="s">
        <v>121</v>
      </c>
      <c r="D98" s="8">
        <v>300</v>
      </c>
      <c r="E98" s="8">
        <v>10</v>
      </c>
    </row>
    <row r="99" spans="1:5">
      <c r="A99" t="s">
        <v>207</v>
      </c>
      <c r="B99" t="s">
        <v>208</v>
      </c>
      <c r="C99" t="s">
        <v>104</v>
      </c>
      <c r="D99" s="8">
        <v>180</v>
      </c>
      <c r="E99" s="8">
        <v>10</v>
      </c>
    </row>
    <row r="100" spans="1:5">
      <c r="A100" t="s">
        <v>207</v>
      </c>
      <c r="B100" t="s">
        <v>208</v>
      </c>
      <c r="C100" t="s">
        <v>112</v>
      </c>
      <c r="D100" s="8">
        <v>400</v>
      </c>
      <c r="E100" s="8">
        <v>10</v>
      </c>
    </row>
    <row r="101" spans="1:5">
      <c r="A101" t="s">
        <v>207</v>
      </c>
      <c r="B101" t="s">
        <v>208</v>
      </c>
      <c r="C101" t="s">
        <v>133</v>
      </c>
      <c r="D101" s="8">
        <v>300</v>
      </c>
      <c r="E101" s="8">
        <v>10</v>
      </c>
    </row>
    <row r="102" spans="1:5">
      <c r="A102" t="s">
        <v>207</v>
      </c>
      <c r="B102" t="s">
        <v>208</v>
      </c>
      <c r="C102" t="s">
        <v>210</v>
      </c>
      <c r="D102" s="8">
        <v>200</v>
      </c>
      <c r="E102" s="8">
        <v>10</v>
      </c>
    </row>
    <row r="103" spans="1:5">
      <c r="A103" t="s">
        <v>207</v>
      </c>
      <c r="B103" t="s">
        <v>208</v>
      </c>
      <c r="C103" t="s">
        <v>147</v>
      </c>
      <c r="D103" s="8">
        <v>8</v>
      </c>
      <c r="E103" s="8">
        <v>4</v>
      </c>
    </row>
    <row r="104" spans="1:5">
      <c r="A104" t="s">
        <v>207</v>
      </c>
      <c r="B104" t="s">
        <v>208</v>
      </c>
      <c r="C104" t="s">
        <v>159</v>
      </c>
      <c r="D104" s="8">
        <v>10</v>
      </c>
      <c r="E104" s="8">
        <v>5</v>
      </c>
    </row>
  </sheetData>
  <mergeCells count="2">
    <mergeCell ref="A2:F2"/>
    <mergeCell ref="A1:F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C5EFD62-87E7-4012-A208-E0940BB0FE74}">
          <x14:formula1>
            <xm:f>Banque_recettes!$B$5:$B$100</xm:f>
          </x14:formula1>
          <xm:sqref>B5:B8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E1104-5165-4C57-927F-50CEA5A3C5ED}">
  <dimension ref="A1:I100"/>
  <sheetViews>
    <sheetView topLeftCell="A8" workbookViewId="0">
      <selection activeCell="F19" sqref="F19"/>
    </sheetView>
  </sheetViews>
  <sheetFormatPr baseColWidth="10" defaultRowHeight="14.4"/>
  <cols>
    <col min="2" max="2" width="45.88671875" bestFit="1" customWidth="1"/>
    <col min="5" max="5" width="13.109375" bestFit="1" customWidth="1"/>
    <col min="9" max="9" width="45.21875" customWidth="1"/>
  </cols>
  <sheetData>
    <row r="1" spans="1:9" ht="21">
      <c r="A1" s="16" t="s">
        <v>165</v>
      </c>
      <c r="B1" s="16"/>
      <c r="C1" s="16"/>
      <c r="D1" s="16"/>
      <c r="E1" s="16"/>
      <c r="F1" s="16"/>
      <c r="G1" s="16"/>
      <c r="H1" s="16"/>
      <c r="I1" s="16"/>
    </row>
    <row r="2" spans="1:9">
      <c r="A2" s="20" t="s">
        <v>196</v>
      </c>
      <c r="B2" s="20"/>
      <c r="C2" s="20"/>
      <c r="D2" s="20"/>
      <c r="E2" s="20"/>
      <c r="F2" s="20"/>
      <c r="G2" s="20"/>
      <c r="H2" s="20"/>
      <c r="I2" s="20"/>
    </row>
    <row r="4" spans="1:9" ht="41.4">
      <c r="A4" s="3" t="s">
        <v>12</v>
      </c>
      <c r="B4" s="3" t="s">
        <v>17</v>
      </c>
      <c r="C4" s="3" t="s">
        <v>166</v>
      </c>
      <c r="D4" s="3" t="s">
        <v>167</v>
      </c>
      <c r="E4" s="3" t="s">
        <v>168</v>
      </c>
      <c r="F4" s="3" t="s">
        <v>169</v>
      </c>
      <c r="G4" s="3" t="s">
        <v>170</v>
      </c>
      <c r="H4" s="3" t="s">
        <v>171</v>
      </c>
      <c r="I4" s="3" t="s">
        <v>172</v>
      </c>
    </row>
    <row r="5" spans="1:9">
      <c r="A5" t="str" cm="1">
        <f t="array" ref="A5:B22">_xlfn.UNIQUE(Banque_recettes!$A$5:$B$100)</f>
        <v>PDJ1</v>
      </c>
      <c r="B5" t="str">
        <v>Œuf, Avoine, Fromage blanc, Pomme</v>
      </c>
      <c r="C5" s="6" t="b">
        <v>1</v>
      </c>
      <c r="D5" s="7">
        <v>3</v>
      </c>
      <c r="E5" s="7" t="s">
        <v>201</v>
      </c>
      <c r="F5" s="7" t="s">
        <v>202</v>
      </c>
      <c r="G5" s="7" t="s">
        <v>205</v>
      </c>
      <c r="H5" s="7"/>
      <c r="I5" s="7" t="s">
        <v>206</v>
      </c>
    </row>
    <row r="6" spans="1:9">
      <c r="A6" t="str">
        <v>PDJ2</v>
      </c>
      <c r="B6">
        <v>0</v>
      </c>
      <c r="C6" s="6" t="b">
        <v>0</v>
      </c>
      <c r="D6" s="7"/>
      <c r="E6" s="7"/>
      <c r="F6" s="7"/>
      <c r="G6" s="7"/>
      <c r="H6" s="7"/>
      <c r="I6" s="7"/>
    </row>
    <row r="7" spans="1:9">
      <c r="A7" t="str">
        <v>R1</v>
      </c>
      <c r="B7" t="str">
        <v>Chili haricots rouges &amp; riz</v>
      </c>
      <c r="C7" s="6" t="b">
        <v>0</v>
      </c>
      <c r="D7" s="7"/>
      <c r="E7" s="7"/>
      <c r="F7" s="7"/>
      <c r="G7" s="7"/>
      <c r="H7" s="7"/>
      <c r="I7" s="7"/>
    </row>
    <row r="8" spans="1:9">
      <c r="A8" t="str">
        <v>R2</v>
      </c>
      <c r="B8" t="str">
        <v>Poulet curry, carottes &amp; riz</v>
      </c>
      <c r="C8" s="6" t="b">
        <v>1</v>
      </c>
      <c r="D8" s="7">
        <v>5</v>
      </c>
      <c r="E8" s="7" t="s">
        <v>201</v>
      </c>
      <c r="F8" s="7" t="s">
        <v>202</v>
      </c>
      <c r="G8" s="7" t="s">
        <v>203</v>
      </c>
      <c r="H8" s="7" t="s">
        <v>24</v>
      </c>
      <c r="I8" s="7" t="s">
        <v>204</v>
      </c>
    </row>
    <row r="9" spans="1:9">
      <c r="A9" t="str">
        <v>R3</v>
      </c>
      <c r="B9" t="str">
        <v>Pâtes au thon, tomate &amp; épinards</v>
      </c>
      <c r="C9" s="6" t="b">
        <v>1</v>
      </c>
      <c r="D9" s="7">
        <v>4</v>
      </c>
      <c r="E9" s="7" t="s">
        <v>201</v>
      </c>
      <c r="F9" s="7" t="s">
        <v>202</v>
      </c>
      <c r="G9" s="7" t="s">
        <v>213</v>
      </c>
      <c r="H9" s="7" t="s">
        <v>85</v>
      </c>
      <c r="I9" s="7" t="s">
        <v>211</v>
      </c>
    </row>
    <row r="10" spans="1:9">
      <c r="A10" t="str">
        <v>R4</v>
      </c>
      <c r="B10" t="str">
        <v>Dhal lentilles corail, carottes &amp; riz</v>
      </c>
      <c r="C10" s="6" t="b">
        <v>1</v>
      </c>
      <c r="D10" s="7">
        <v>4</v>
      </c>
      <c r="E10" s="7" t="s">
        <v>214</v>
      </c>
      <c r="F10" s="7" t="s">
        <v>202</v>
      </c>
      <c r="G10" s="7" t="s">
        <v>203</v>
      </c>
      <c r="H10" s="7" t="s">
        <v>24</v>
      </c>
      <c r="I10" s="7"/>
    </row>
    <row r="11" spans="1:9">
      <c r="A11" t="str">
        <v>R5</v>
      </c>
      <c r="B11" t="str">
        <v>Semoule, pois chiches &amp; légumes</v>
      </c>
      <c r="C11" s="6" t="b">
        <v>0</v>
      </c>
      <c r="D11" s="7"/>
      <c r="E11" s="7"/>
      <c r="F11" s="7"/>
      <c r="G11" s="7"/>
      <c r="H11" s="7"/>
      <c r="I11" s="7"/>
    </row>
    <row r="12" spans="1:9">
      <c r="A12" t="str">
        <v>R6</v>
      </c>
      <c r="B12" t="str">
        <v>Poulet, pommes de terre &amp; haricots verts</v>
      </c>
      <c r="C12" s="6" t="b">
        <v>0</v>
      </c>
      <c r="D12" s="7"/>
      <c r="E12" s="7"/>
      <c r="F12" s="7"/>
      <c r="G12" s="7"/>
      <c r="H12" s="7"/>
      <c r="I12" s="7"/>
    </row>
    <row r="13" spans="1:9">
      <c r="A13" t="str">
        <v>R7</v>
      </c>
      <c r="B13" t="str">
        <v>Bolognaise de lentilles &amp; pâtes</v>
      </c>
      <c r="C13" s="6" t="b">
        <v>1</v>
      </c>
      <c r="D13" s="7">
        <v>5</v>
      </c>
      <c r="E13" s="7" t="s">
        <v>201</v>
      </c>
      <c r="F13" s="7" t="s">
        <v>202</v>
      </c>
      <c r="G13" s="7" t="s">
        <v>205</v>
      </c>
      <c r="H13" s="7" t="s">
        <v>24</v>
      </c>
      <c r="I13" s="7"/>
    </row>
    <row r="14" spans="1:9">
      <c r="A14" t="str">
        <v>R8</v>
      </c>
      <c r="B14" t="str">
        <v>Riz au poulet, tomate &amp; petits pois</v>
      </c>
      <c r="C14" s="6" t="b">
        <v>1</v>
      </c>
      <c r="D14" s="7">
        <v>4</v>
      </c>
      <c r="E14" s="7" t="s">
        <v>201</v>
      </c>
      <c r="F14" s="7" t="s">
        <v>202</v>
      </c>
      <c r="G14" s="7" t="s">
        <v>213</v>
      </c>
      <c r="H14" s="7" t="s">
        <v>24</v>
      </c>
      <c r="I14" s="7"/>
    </row>
    <row r="15" spans="1:9">
      <c r="A15" t="str">
        <v>R9</v>
      </c>
      <c r="B15" t="str">
        <v>Poulet moutarde, pommes de terre &amp; carottes</v>
      </c>
      <c r="C15" s="6" t="b">
        <v>0</v>
      </c>
      <c r="D15" s="7"/>
      <c r="E15" s="7"/>
      <c r="F15" s="7"/>
      <c r="G15" s="7"/>
      <c r="H15" s="7"/>
      <c r="I15" s="7"/>
    </row>
    <row r="16" spans="1:9">
      <c r="A16" t="str">
        <v>R10</v>
      </c>
      <c r="B16" t="str">
        <v>Pâtes pois chiches, tomate &amp; épinards</v>
      </c>
      <c r="C16" s="6" t="b">
        <v>1</v>
      </c>
      <c r="D16" s="7">
        <v>4</v>
      </c>
      <c r="E16" s="7" t="s">
        <v>201</v>
      </c>
      <c r="F16" s="7" t="s">
        <v>202</v>
      </c>
      <c r="G16" s="7" t="s">
        <v>205</v>
      </c>
      <c r="H16" s="7" t="s">
        <v>24</v>
      </c>
      <c r="I16" s="7"/>
    </row>
    <row r="17" spans="1:9">
      <c r="A17" t="str">
        <v>R11</v>
      </c>
      <c r="B17" t="str">
        <v>Riz lentilles corail, petits pois &amp; carottes</v>
      </c>
      <c r="C17" s="6" t="b">
        <v>1</v>
      </c>
      <c r="D17" s="7">
        <v>5</v>
      </c>
      <c r="E17" s="7" t="s">
        <v>201</v>
      </c>
      <c r="F17" s="7" t="s">
        <v>202</v>
      </c>
      <c r="G17" s="7" t="s">
        <v>212</v>
      </c>
      <c r="H17" s="7" t="s">
        <v>24</v>
      </c>
      <c r="I17" s="7"/>
    </row>
    <row r="18" spans="1:9">
      <c r="A18" t="str">
        <v>R12</v>
      </c>
      <c r="B18" t="str">
        <v>Lentilles vertes, tomate &amp; pommes de terre</v>
      </c>
      <c r="C18" s="6" t="b">
        <v>0</v>
      </c>
      <c r="D18" s="7"/>
      <c r="E18" s="7"/>
      <c r="F18" s="7"/>
      <c r="G18" s="7"/>
      <c r="H18" s="7"/>
      <c r="I18" s="7"/>
    </row>
    <row r="19" spans="1:9">
      <c r="A19" t="str">
        <v>R13</v>
      </c>
      <c r="B19" t="str">
        <v>Poulet paprika, semoule &amp; légumes</v>
      </c>
      <c r="C19" s="6" t="b">
        <v>0</v>
      </c>
      <c r="D19" s="7"/>
      <c r="E19" s="7"/>
      <c r="F19" s="7"/>
      <c r="G19" s="7"/>
      <c r="H19" s="7"/>
      <c r="I19" s="7"/>
    </row>
    <row r="20" spans="1:9">
      <c r="A20" t="str">
        <v>R14</v>
      </c>
      <c r="B20" t="str">
        <v>Filet de poisson blanc, pommes de terre &amp; haricots verts</v>
      </c>
      <c r="C20" s="6" t="b">
        <v>0</v>
      </c>
      <c r="D20" s="7"/>
      <c r="E20" s="7"/>
      <c r="F20" s="7"/>
      <c r="G20" s="7"/>
      <c r="H20" s="7"/>
      <c r="I20" s="7"/>
    </row>
    <row r="21" spans="1:9">
      <c r="A21" t="str">
        <v>R15</v>
      </c>
      <c r="B21" t="str">
        <v>Poulet, curry, riz, lait de coco, légumes</v>
      </c>
      <c r="C21" s="6" t="b">
        <v>0</v>
      </c>
      <c r="D21" s="7"/>
      <c r="E21" s="7"/>
      <c r="F21" s="7"/>
      <c r="G21" s="7"/>
      <c r="H21" s="7"/>
      <c r="I21" s="7"/>
    </row>
    <row r="22" spans="1:9">
      <c r="A22">
        <v>0</v>
      </c>
      <c r="B22">
        <v>0</v>
      </c>
      <c r="C22" s="6" t="b">
        <v>0</v>
      </c>
      <c r="D22" s="7"/>
      <c r="E22" s="7"/>
      <c r="F22" s="7"/>
      <c r="G22" s="7"/>
      <c r="H22" s="7"/>
      <c r="I22" s="7"/>
    </row>
    <row r="23" spans="1:9">
      <c r="C23" s="6" t="b">
        <v>0</v>
      </c>
      <c r="D23" s="7"/>
      <c r="E23" s="7"/>
      <c r="F23" s="7"/>
      <c r="G23" s="7"/>
      <c r="H23" s="7"/>
      <c r="I23" s="7"/>
    </row>
    <row r="24" spans="1:9">
      <c r="C24" s="6" t="b">
        <v>0</v>
      </c>
      <c r="D24" s="7"/>
      <c r="E24" s="7"/>
      <c r="F24" s="7"/>
      <c r="G24" s="7"/>
      <c r="H24" s="7"/>
      <c r="I24" s="7"/>
    </row>
    <row r="25" spans="1:9">
      <c r="C25" s="6" t="b">
        <v>0</v>
      </c>
      <c r="D25" s="7"/>
      <c r="E25" s="7"/>
      <c r="F25" s="7"/>
      <c r="G25" s="7"/>
      <c r="H25" s="7"/>
      <c r="I25" s="7"/>
    </row>
    <row r="26" spans="1:9">
      <c r="C26" s="6" t="b">
        <v>0</v>
      </c>
      <c r="D26" s="7"/>
      <c r="E26" s="7"/>
      <c r="F26" s="7"/>
      <c r="G26" s="7"/>
      <c r="H26" s="7"/>
      <c r="I26" s="7"/>
    </row>
    <row r="27" spans="1:9">
      <c r="C27" s="6" t="b">
        <v>0</v>
      </c>
      <c r="D27" s="7"/>
      <c r="E27" s="7"/>
      <c r="F27" s="7"/>
      <c r="G27" s="7"/>
      <c r="H27" s="7"/>
      <c r="I27" s="7"/>
    </row>
    <row r="28" spans="1:9">
      <c r="C28" s="6" t="b">
        <v>0</v>
      </c>
      <c r="D28" s="7"/>
      <c r="E28" s="7"/>
      <c r="F28" s="7"/>
      <c r="G28" s="7"/>
      <c r="H28" s="7"/>
      <c r="I28" s="7"/>
    </row>
    <row r="29" spans="1:9">
      <c r="C29" s="6" t="b">
        <v>0</v>
      </c>
      <c r="D29" s="7"/>
      <c r="E29" s="7"/>
      <c r="F29" s="7"/>
      <c r="G29" s="7"/>
      <c r="H29" s="7"/>
      <c r="I29" s="7"/>
    </row>
    <row r="30" spans="1:9">
      <c r="C30" s="6" t="b">
        <v>0</v>
      </c>
      <c r="D30" s="7"/>
      <c r="E30" s="7"/>
      <c r="F30" s="7"/>
      <c r="G30" s="7"/>
      <c r="H30" s="7"/>
      <c r="I30" s="7"/>
    </row>
    <row r="31" spans="1:9">
      <c r="C31" s="6" t="b">
        <v>0</v>
      </c>
      <c r="D31" s="7"/>
      <c r="E31" s="7"/>
      <c r="F31" s="7"/>
      <c r="G31" s="7"/>
      <c r="H31" s="7"/>
      <c r="I31" s="7"/>
    </row>
    <row r="32" spans="1:9">
      <c r="C32" s="6" t="b">
        <v>0</v>
      </c>
      <c r="D32" s="7"/>
      <c r="E32" s="7"/>
      <c r="F32" s="7"/>
      <c r="G32" s="7"/>
      <c r="H32" s="7"/>
      <c r="I32" s="7"/>
    </row>
    <row r="33" spans="3:9">
      <c r="C33" s="6" t="b">
        <v>0</v>
      </c>
      <c r="D33" s="7"/>
      <c r="E33" s="7"/>
      <c r="F33" s="7"/>
      <c r="G33" s="7"/>
      <c r="H33" s="7"/>
      <c r="I33" s="7"/>
    </row>
    <row r="34" spans="3:9">
      <c r="C34" s="6" t="b">
        <v>0</v>
      </c>
      <c r="D34" s="7"/>
      <c r="E34" s="7"/>
      <c r="F34" s="7"/>
      <c r="G34" s="7"/>
      <c r="H34" s="7"/>
      <c r="I34" s="7"/>
    </row>
    <row r="35" spans="3:9">
      <c r="C35" s="6" t="b">
        <v>0</v>
      </c>
      <c r="D35" s="7"/>
      <c r="E35" s="7"/>
      <c r="F35" s="7"/>
      <c r="G35" s="7"/>
      <c r="H35" s="7"/>
      <c r="I35" s="7"/>
    </row>
    <row r="36" spans="3:9">
      <c r="C36" s="6" t="b">
        <v>0</v>
      </c>
      <c r="D36" s="7"/>
      <c r="E36" s="7"/>
      <c r="F36" s="7"/>
      <c r="G36" s="7"/>
      <c r="H36" s="7"/>
      <c r="I36" s="7"/>
    </row>
    <row r="37" spans="3:9">
      <c r="C37" s="6" t="b">
        <v>0</v>
      </c>
      <c r="D37" s="7"/>
      <c r="E37" s="7"/>
      <c r="F37" s="7"/>
      <c r="G37" s="7"/>
      <c r="H37" s="7"/>
      <c r="I37" s="7"/>
    </row>
    <row r="38" spans="3:9">
      <c r="C38" s="6" t="b">
        <v>0</v>
      </c>
      <c r="D38" s="7"/>
      <c r="E38" s="7"/>
      <c r="F38" s="7"/>
      <c r="G38" s="7"/>
      <c r="H38" s="7"/>
      <c r="I38" s="7"/>
    </row>
    <row r="39" spans="3:9">
      <c r="C39" s="6" t="b">
        <v>0</v>
      </c>
      <c r="D39" s="7"/>
      <c r="E39" s="7"/>
      <c r="F39" s="7"/>
      <c r="G39" s="7"/>
      <c r="H39" s="7"/>
      <c r="I39" s="7"/>
    </row>
    <row r="40" spans="3:9">
      <c r="C40" s="6" t="b">
        <v>0</v>
      </c>
      <c r="D40" s="7"/>
      <c r="E40" s="7"/>
      <c r="F40" s="7"/>
      <c r="G40" s="7"/>
      <c r="H40" s="7"/>
      <c r="I40" s="7"/>
    </row>
    <row r="41" spans="3:9">
      <c r="C41" s="6" t="b">
        <v>0</v>
      </c>
      <c r="D41" s="7"/>
      <c r="E41" s="7"/>
      <c r="F41" s="7"/>
      <c r="G41" s="7"/>
      <c r="H41" s="7"/>
      <c r="I41" s="7"/>
    </row>
    <row r="42" spans="3:9">
      <c r="C42" s="6" t="b">
        <v>0</v>
      </c>
      <c r="D42" s="7"/>
      <c r="E42" s="7"/>
      <c r="F42" s="7"/>
      <c r="G42" s="7"/>
      <c r="H42" s="7"/>
      <c r="I42" s="7"/>
    </row>
    <row r="43" spans="3:9">
      <c r="C43" s="6" t="b">
        <v>0</v>
      </c>
      <c r="D43" s="7"/>
      <c r="E43" s="7"/>
      <c r="F43" s="7"/>
      <c r="G43" s="7"/>
      <c r="H43" s="7"/>
      <c r="I43" s="7"/>
    </row>
    <row r="44" spans="3:9">
      <c r="C44" s="6" t="b">
        <v>0</v>
      </c>
      <c r="D44" s="7"/>
      <c r="E44" s="7"/>
      <c r="F44" s="7"/>
      <c r="G44" s="7"/>
      <c r="H44" s="7"/>
      <c r="I44" s="7"/>
    </row>
    <row r="45" spans="3:9">
      <c r="C45" s="6" t="b">
        <v>0</v>
      </c>
      <c r="D45" s="7"/>
      <c r="E45" s="7"/>
      <c r="F45" s="7"/>
      <c r="G45" s="7"/>
      <c r="H45" s="7"/>
      <c r="I45" s="7"/>
    </row>
    <row r="46" spans="3:9">
      <c r="C46" s="6" t="b">
        <v>0</v>
      </c>
      <c r="D46" s="7"/>
      <c r="E46" s="7"/>
      <c r="F46" s="7"/>
      <c r="G46" s="7"/>
      <c r="H46" s="7"/>
      <c r="I46" s="7"/>
    </row>
    <row r="47" spans="3:9">
      <c r="C47" s="6" t="b">
        <v>0</v>
      </c>
      <c r="D47" s="7"/>
      <c r="E47" s="7"/>
      <c r="F47" s="7"/>
      <c r="G47" s="7"/>
      <c r="H47" s="7"/>
      <c r="I47" s="7"/>
    </row>
    <row r="48" spans="3:9">
      <c r="C48" s="6" t="b">
        <v>0</v>
      </c>
      <c r="D48" s="7"/>
      <c r="E48" s="7"/>
      <c r="F48" s="7"/>
      <c r="G48" s="7"/>
      <c r="H48" s="7"/>
      <c r="I48" s="7"/>
    </row>
    <row r="49" spans="3:9">
      <c r="C49" s="6" t="b">
        <v>0</v>
      </c>
      <c r="D49" s="7"/>
      <c r="E49" s="7"/>
      <c r="F49" s="7"/>
      <c r="G49" s="7"/>
      <c r="H49" s="7"/>
      <c r="I49" s="7"/>
    </row>
    <row r="50" spans="3:9">
      <c r="C50" s="6" t="b">
        <v>0</v>
      </c>
      <c r="D50" s="7"/>
      <c r="E50" s="7"/>
      <c r="F50" s="7"/>
      <c r="G50" s="7"/>
      <c r="H50" s="7"/>
      <c r="I50" s="7"/>
    </row>
    <row r="51" spans="3:9">
      <c r="C51" s="6" t="b">
        <v>0</v>
      </c>
      <c r="D51" s="7"/>
      <c r="E51" s="7"/>
      <c r="F51" s="7"/>
      <c r="G51" s="7"/>
      <c r="H51" s="7"/>
      <c r="I51" s="7"/>
    </row>
    <row r="52" spans="3:9">
      <c r="C52" s="6" t="b">
        <v>0</v>
      </c>
      <c r="D52" s="7"/>
      <c r="E52" s="7"/>
      <c r="F52" s="7"/>
      <c r="G52" s="7"/>
      <c r="H52" s="7"/>
      <c r="I52" s="7"/>
    </row>
    <row r="53" spans="3:9">
      <c r="C53" s="6" t="b">
        <v>0</v>
      </c>
      <c r="D53" s="7"/>
      <c r="E53" s="7"/>
      <c r="F53" s="7"/>
      <c r="G53" s="7"/>
      <c r="H53" s="7"/>
      <c r="I53" s="7"/>
    </row>
    <row r="54" spans="3:9">
      <c r="C54" s="6" t="b">
        <v>0</v>
      </c>
      <c r="D54" s="7"/>
      <c r="E54" s="7"/>
      <c r="F54" s="7"/>
      <c r="G54" s="7"/>
      <c r="H54" s="7"/>
      <c r="I54" s="7"/>
    </row>
    <row r="55" spans="3:9">
      <c r="C55" s="6" t="b">
        <v>0</v>
      </c>
      <c r="D55" s="7"/>
      <c r="E55" s="7"/>
      <c r="F55" s="7"/>
      <c r="G55" s="7"/>
      <c r="H55" s="7"/>
      <c r="I55" s="7"/>
    </row>
    <row r="56" spans="3:9">
      <c r="C56" s="6" t="b">
        <v>0</v>
      </c>
      <c r="D56" s="7"/>
      <c r="E56" s="7"/>
      <c r="F56" s="7"/>
      <c r="G56" s="7"/>
      <c r="H56" s="7"/>
      <c r="I56" s="7"/>
    </row>
    <row r="57" spans="3:9">
      <c r="C57" s="6" t="b">
        <v>0</v>
      </c>
      <c r="D57" s="7"/>
      <c r="E57" s="7"/>
      <c r="F57" s="7"/>
      <c r="G57" s="7"/>
      <c r="H57" s="7"/>
      <c r="I57" s="7"/>
    </row>
    <row r="58" spans="3:9">
      <c r="C58" s="6" t="b">
        <v>0</v>
      </c>
      <c r="D58" s="7"/>
      <c r="E58" s="7"/>
      <c r="F58" s="7"/>
      <c r="G58" s="7"/>
      <c r="H58" s="7"/>
      <c r="I58" s="7"/>
    </row>
    <row r="59" spans="3:9">
      <c r="C59" s="6" t="b">
        <v>0</v>
      </c>
      <c r="D59" s="7"/>
      <c r="E59" s="7"/>
      <c r="F59" s="7"/>
      <c r="G59" s="7"/>
      <c r="H59" s="7"/>
      <c r="I59" s="7"/>
    </row>
    <row r="60" spans="3:9">
      <c r="C60" s="6" t="b">
        <v>0</v>
      </c>
      <c r="D60" s="7"/>
      <c r="E60" s="7"/>
      <c r="F60" s="7"/>
      <c r="G60" s="7"/>
      <c r="H60" s="7"/>
      <c r="I60" s="7"/>
    </row>
    <row r="61" spans="3:9">
      <c r="C61" s="6" t="b">
        <v>0</v>
      </c>
      <c r="D61" s="7"/>
      <c r="E61" s="7"/>
      <c r="F61" s="7"/>
      <c r="G61" s="7"/>
      <c r="H61" s="7"/>
      <c r="I61" s="7"/>
    </row>
    <row r="62" spans="3:9">
      <c r="C62" s="6" t="b">
        <v>0</v>
      </c>
      <c r="D62" s="7"/>
      <c r="E62" s="7"/>
      <c r="F62" s="7"/>
      <c r="G62" s="7"/>
      <c r="H62" s="7"/>
      <c r="I62" s="7"/>
    </row>
    <row r="63" spans="3:9">
      <c r="C63" s="6" t="b">
        <v>0</v>
      </c>
      <c r="D63" s="7"/>
      <c r="E63" s="7"/>
      <c r="F63" s="7"/>
      <c r="G63" s="7"/>
      <c r="H63" s="7"/>
      <c r="I63" s="7"/>
    </row>
    <row r="64" spans="3:9">
      <c r="C64" s="6" t="b">
        <v>0</v>
      </c>
      <c r="D64" s="7"/>
      <c r="E64" s="7"/>
      <c r="F64" s="7"/>
      <c r="G64" s="7"/>
      <c r="H64" s="7"/>
      <c r="I64" s="7"/>
    </row>
    <row r="65" spans="3:9">
      <c r="C65" s="6" t="b">
        <v>0</v>
      </c>
      <c r="D65" s="7"/>
      <c r="E65" s="7"/>
      <c r="F65" s="7"/>
      <c r="G65" s="7"/>
      <c r="H65" s="7"/>
      <c r="I65" s="7"/>
    </row>
    <row r="66" spans="3:9">
      <c r="C66" s="6" t="b">
        <v>0</v>
      </c>
      <c r="D66" s="7"/>
      <c r="E66" s="7"/>
      <c r="F66" s="7"/>
      <c r="G66" s="7"/>
      <c r="H66" s="7"/>
      <c r="I66" s="7"/>
    </row>
    <row r="67" spans="3:9">
      <c r="C67" s="6" t="b">
        <v>0</v>
      </c>
      <c r="D67" s="7"/>
      <c r="E67" s="7"/>
      <c r="F67" s="7"/>
      <c r="G67" s="7"/>
      <c r="H67" s="7"/>
      <c r="I67" s="7"/>
    </row>
    <row r="68" spans="3:9">
      <c r="C68" s="6" t="b">
        <v>0</v>
      </c>
      <c r="D68" s="7"/>
      <c r="E68" s="7"/>
      <c r="F68" s="7"/>
      <c r="G68" s="7"/>
      <c r="H68" s="7"/>
      <c r="I68" s="7"/>
    </row>
    <row r="69" spans="3:9">
      <c r="C69" s="6" t="b">
        <v>0</v>
      </c>
      <c r="D69" s="7"/>
      <c r="E69" s="7"/>
      <c r="F69" s="7"/>
      <c r="G69" s="7"/>
      <c r="H69" s="7"/>
      <c r="I69" s="7"/>
    </row>
    <row r="70" spans="3:9">
      <c r="C70" s="6" t="b">
        <v>0</v>
      </c>
      <c r="D70" s="7"/>
      <c r="E70" s="7"/>
      <c r="F70" s="7"/>
      <c r="G70" s="7"/>
      <c r="H70" s="7"/>
      <c r="I70" s="7"/>
    </row>
    <row r="71" spans="3:9">
      <c r="C71" s="6" t="b">
        <v>0</v>
      </c>
      <c r="D71" s="7"/>
      <c r="E71" s="7"/>
      <c r="F71" s="7"/>
      <c r="G71" s="7"/>
      <c r="H71" s="7"/>
      <c r="I71" s="7"/>
    </row>
    <row r="72" spans="3:9">
      <c r="C72" s="6" t="b">
        <v>0</v>
      </c>
      <c r="D72" s="7"/>
      <c r="E72" s="7"/>
      <c r="F72" s="7"/>
      <c r="G72" s="7"/>
      <c r="H72" s="7"/>
      <c r="I72" s="7"/>
    </row>
    <row r="73" spans="3:9">
      <c r="C73" s="6" t="b">
        <v>0</v>
      </c>
      <c r="D73" s="7"/>
      <c r="E73" s="7"/>
      <c r="F73" s="7"/>
      <c r="G73" s="7"/>
      <c r="H73" s="7"/>
      <c r="I73" s="7"/>
    </row>
    <row r="74" spans="3:9">
      <c r="C74" s="6" t="b">
        <v>0</v>
      </c>
      <c r="D74" s="7"/>
      <c r="E74" s="7"/>
      <c r="F74" s="7"/>
      <c r="G74" s="7"/>
      <c r="H74" s="7"/>
      <c r="I74" s="7"/>
    </row>
    <row r="75" spans="3:9">
      <c r="C75" s="6" t="b">
        <v>0</v>
      </c>
      <c r="D75" s="7"/>
      <c r="E75" s="7"/>
      <c r="F75" s="7"/>
      <c r="G75" s="7"/>
      <c r="H75" s="7"/>
      <c r="I75" s="7"/>
    </row>
    <row r="76" spans="3:9">
      <c r="C76" s="6" t="b">
        <v>0</v>
      </c>
      <c r="D76" s="7"/>
      <c r="E76" s="7"/>
      <c r="F76" s="7"/>
      <c r="G76" s="7"/>
      <c r="H76" s="7"/>
      <c r="I76" s="7"/>
    </row>
    <row r="77" spans="3:9">
      <c r="C77" s="6" t="b">
        <v>0</v>
      </c>
      <c r="D77" s="7"/>
      <c r="E77" s="7"/>
      <c r="F77" s="7"/>
      <c r="G77" s="7"/>
      <c r="H77" s="7"/>
      <c r="I77" s="7"/>
    </row>
    <row r="78" spans="3:9">
      <c r="C78" s="6" t="b">
        <v>0</v>
      </c>
      <c r="D78" s="7"/>
      <c r="E78" s="7"/>
      <c r="F78" s="7"/>
      <c r="G78" s="7"/>
      <c r="H78" s="7"/>
      <c r="I78" s="7"/>
    </row>
    <row r="79" spans="3:9">
      <c r="C79" s="6" t="b">
        <v>0</v>
      </c>
      <c r="D79" s="7"/>
      <c r="E79" s="7"/>
      <c r="F79" s="7"/>
      <c r="G79" s="7"/>
      <c r="H79" s="7"/>
      <c r="I79" s="7"/>
    </row>
    <row r="80" spans="3:9">
      <c r="C80" s="6" t="b">
        <v>0</v>
      </c>
      <c r="D80" s="7"/>
      <c r="E80" s="7"/>
      <c r="F80" s="7"/>
      <c r="G80" s="7"/>
      <c r="H80" s="7"/>
      <c r="I80" s="7"/>
    </row>
    <row r="81" spans="3:9">
      <c r="C81" s="6" t="b">
        <v>0</v>
      </c>
      <c r="D81" s="7"/>
      <c r="E81" s="7"/>
      <c r="F81" s="7"/>
      <c r="G81" s="7"/>
      <c r="H81" s="7"/>
      <c r="I81" s="7"/>
    </row>
    <row r="82" spans="3:9">
      <c r="C82" s="6" t="b">
        <v>0</v>
      </c>
      <c r="D82" s="7"/>
      <c r="E82" s="7"/>
      <c r="F82" s="7"/>
      <c r="G82" s="7"/>
      <c r="H82" s="7"/>
      <c r="I82" s="7"/>
    </row>
    <row r="83" spans="3:9">
      <c r="C83" s="6" t="b">
        <v>0</v>
      </c>
      <c r="D83" s="7"/>
      <c r="E83" s="7"/>
      <c r="F83" s="7"/>
      <c r="G83" s="7"/>
      <c r="H83" s="7"/>
      <c r="I83" s="7"/>
    </row>
    <row r="84" spans="3:9">
      <c r="C84" s="6" t="b">
        <v>0</v>
      </c>
      <c r="D84" s="7"/>
      <c r="E84" s="7"/>
      <c r="F84" s="7"/>
      <c r="G84" s="7"/>
      <c r="H84" s="7"/>
      <c r="I84" s="7"/>
    </row>
    <row r="85" spans="3:9">
      <c r="C85" s="6" t="b">
        <v>0</v>
      </c>
      <c r="D85" s="7"/>
      <c r="E85" s="7"/>
      <c r="F85" s="7"/>
      <c r="G85" s="7"/>
      <c r="H85" s="7"/>
      <c r="I85" s="7"/>
    </row>
    <row r="86" spans="3:9">
      <c r="C86" s="6" t="b">
        <v>0</v>
      </c>
      <c r="D86" s="7"/>
      <c r="E86" s="7"/>
      <c r="F86" s="7"/>
      <c r="G86" s="7"/>
      <c r="H86" s="7"/>
      <c r="I86" s="7"/>
    </row>
    <row r="87" spans="3:9">
      <c r="C87" s="6" t="b">
        <v>0</v>
      </c>
      <c r="D87" s="7"/>
      <c r="E87" s="7"/>
      <c r="F87" s="7"/>
      <c r="G87" s="7"/>
      <c r="H87" s="7"/>
      <c r="I87" s="7"/>
    </row>
    <row r="88" spans="3:9">
      <c r="C88" s="6" t="b">
        <v>0</v>
      </c>
      <c r="D88" s="7"/>
      <c r="E88" s="7"/>
      <c r="F88" s="7"/>
      <c r="G88" s="7"/>
      <c r="H88" s="7"/>
      <c r="I88" s="7"/>
    </row>
    <row r="89" spans="3:9">
      <c r="C89" s="6" t="b">
        <v>0</v>
      </c>
      <c r="D89" s="7"/>
      <c r="E89" s="7"/>
      <c r="F89" s="7"/>
      <c r="G89" s="7"/>
      <c r="H89" s="7"/>
      <c r="I89" s="7"/>
    </row>
    <row r="90" spans="3:9">
      <c r="C90" s="6" t="b">
        <v>0</v>
      </c>
      <c r="D90" s="7"/>
      <c r="E90" s="7"/>
      <c r="F90" s="7"/>
      <c r="G90" s="7"/>
      <c r="H90" s="7"/>
      <c r="I90" s="7"/>
    </row>
    <row r="91" spans="3:9">
      <c r="C91" s="6" t="b">
        <v>0</v>
      </c>
      <c r="D91" s="7"/>
      <c r="E91" s="7"/>
      <c r="F91" s="7"/>
      <c r="G91" s="7"/>
      <c r="H91" s="7"/>
      <c r="I91" s="7"/>
    </row>
    <row r="92" spans="3:9">
      <c r="C92" s="6" t="b">
        <v>0</v>
      </c>
      <c r="D92" s="7"/>
      <c r="E92" s="7"/>
      <c r="F92" s="7"/>
      <c r="G92" s="7"/>
      <c r="H92" s="7"/>
      <c r="I92" s="7"/>
    </row>
    <row r="93" spans="3:9">
      <c r="C93" s="6" t="b">
        <v>0</v>
      </c>
      <c r="D93" s="7"/>
      <c r="E93" s="7"/>
      <c r="F93" s="7"/>
      <c r="G93" s="7"/>
      <c r="H93" s="7"/>
      <c r="I93" s="7"/>
    </row>
    <row r="94" spans="3:9">
      <c r="C94" s="6" t="b">
        <v>0</v>
      </c>
      <c r="D94" s="7"/>
      <c r="E94" s="7"/>
      <c r="F94" s="7"/>
      <c r="G94" s="7"/>
      <c r="H94" s="7"/>
      <c r="I94" s="7"/>
    </row>
    <row r="95" spans="3:9">
      <c r="C95" s="6" t="b">
        <v>0</v>
      </c>
      <c r="D95" s="7"/>
      <c r="E95" s="7"/>
      <c r="F95" s="7"/>
      <c r="G95" s="7"/>
      <c r="H95" s="7"/>
      <c r="I95" s="7"/>
    </row>
    <row r="96" spans="3:9">
      <c r="C96" s="6" t="b">
        <v>0</v>
      </c>
      <c r="D96" s="7"/>
      <c r="E96" s="7"/>
      <c r="F96" s="7"/>
      <c r="G96" s="7"/>
      <c r="H96" s="7"/>
      <c r="I96" s="7"/>
    </row>
    <row r="97" spans="3:9">
      <c r="C97" s="6" t="b">
        <v>0</v>
      </c>
      <c r="D97" s="7"/>
      <c r="E97" s="7"/>
      <c r="F97" s="7"/>
      <c r="G97" s="7"/>
      <c r="H97" s="7"/>
      <c r="I97" s="7"/>
    </row>
    <row r="98" spans="3:9">
      <c r="C98" s="6" t="b">
        <v>0</v>
      </c>
      <c r="D98" s="7"/>
      <c r="E98" s="7"/>
      <c r="F98" s="7"/>
      <c r="G98" s="7"/>
      <c r="H98" s="7"/>
      <c r="I98" s="7"/>
    </row>
    <row r="99" spans="3:9">
      <c r="C99" s="6" t="b">
        <v>0</v>
      </c>
      <c r="D99" s="7"/>
      <c r="E99" s="7"/>
      <c r="F99" s="7"/>
      <c r="G99" s="7"/>
      <c r="H99" s="7"/>
      <c r="I99" s="7"/>
    </row>
    <row r="100" spans="3:9">
      <c r="C100" s="6" t="b">
        <v>0</v>
      </c>
      <c r="D100" s="7"/>
      <c r="E100" s="7"/>
      <c r="F100" s="7"/>
      <c r="G100" s="7"/>
      <c r="H100" s="7"/>
      <c r="I100" s="7"/>
    </row>
  </sheetData>
  <mergeCells count="2">
    <mergeCell ref="A1:I1"/>
    <mergeCell ref="A2:I2"/>
  </mergeCells>
  <dataValidations count="5">
    <dataValidation type="list" sqref="H5:H100" xr:uid="{49A137DF-05CF-45D4-82B0-C64C4D44D874}">
      <formula1>"Oui,À modifier,Non"</formula1>
    </dataValidation>
    <dataValidation type="list" sqref="G5:G100" xr:uid="{53F220A1-6F6D-4DF3-A3AF-D1CDD918E687}">
      <formula1>"Très facile,Facile,Moyen,Pénible"</formula1>
    </dataValidation>
    <dataValidation type="list" sqref="F5:F100" xr:uid="{816F7097-5883-4602-89D6-50C41433C168}">
      <formula1>"Augmenter,Garder,Réduire"</formula1>
    </dataValidation>
    <dataValidation type="list" sqref="E5:E100" xr:uid="{286CBBE4-38FB-4E30-A487-84BFB5FE2C45}">
      <formula1>"Pas assez,Bien,Très rassasiant"</formula1>
    </dataValidation>
    <dataValidation type="list" sqref="D5:D100" xr:uid="{66D77AA3-88FF-4309-94F4-CA5447B49A34}">
      <formula1>"1,2,3,4,5"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Menu</vt:lpstr>
      <vt:lpstr>Repas prévus</vt:lpstr>
      <vt:lpstr>Ingrédients</vt:lpstr>
      <vt:lpstr>Courses</vt:lpstr>
      <vt:lpstr>Banque_recettes</vt:lpstr>
      <vt:lpstr>Detail_recettes</vt:lpstr>
      <vt:lpstr>Avis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Lepère</dc:creator>
  <cp:lastModifiedBy>Thomas Lepère</cp:lastModifiedBy>
  <dcterms:created xsi:type="dcterms:W3CDTF">2026-09-15T18:51:42Z</dcterms:created>
  <dcterms:modified xsi:type="dcterms:W3CDTF">2026-09-25T19:23:18Z</dcterms:modified>
</cp:coreProperties>
</file>